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202300"/>
  <mc:AlternateContent xmlns:mc="http://schemas.openxmlformats.org/markup-compatibility/2006">
    <mc:Choice Requires="x15">
      <x15ac:absPath xmlns:x15ac="http://schemas.microsoft.com/office/spreadsheetml/2010/11/ac" url="C:\Users\HOANG PHUC\Downloads\"/>
    </mc:Choice>
  </mc:AlternateContent>
  <xr:revisionPtr revIDLastSave="0" documentId="13_ncr:1_{07119EB9-0F6F-45F1-9332-7EBE18835BA5}" xr6:coauthVersionLast="47" xr6:coauthVersionMax="47" xr10:uidLastSave="{00000000-0000-0000-0000-000000000000}"/>
  <bookViews>
    <workbookView xWindow="-108" yWindow="-108" windowWidth="23256" windowHeight="12456" xr2:uid="{6D9B2E93-36CB-4C3D-987F-765648AC4625}"/>
  </bookViews>
  <sheets>
    <sheet name="Données" sheetId="3" r:id="rId1"/>
    <sheet name="Tendance, prévision, FCFF" sheetId="5" r:id="rId2"/>
    <sheet name="WACC, DCF" sheetId="6" r:id="rId3"/>
    <sheet name="COMPARABLES" sheetId="7" r:id="rId4"/>
    <sheet name="LBO" sheetId="12" r:id="rId5"/>
    <sheet name="Marriott M&amp;A" sheetId="1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12" l="1"/>
  <c r="C6" i="12"/>
  <c r="C47" i="14"/>
  <c r="D40" i="14"/>
  <c r="E40" i="14"/>
  <c r="F40" i="14"/>
  <c r="G40" i="14"/>
  <c r="C40" i="14"/>
  <c r="C21" i="14"/>
  <c r="C61" i="14" s="1"/>
  <c r="C9" i="14"/>
  <c r="C11" i="14" s="1"/>
  <c r="C15" i="14" s="1"/>
  <c r="C12" i="12"/>
  <c r="C31" i="12" s="1"/>
  <c r="G30" i="7"/>
  <c r="F23" i="7"/>
  <c r="F22" i="7"/>
  <c r="F21" i="7"/>
  <c r="F20" i="7"/>
  <c r="F19" i="7"/>
  <c r="F18" i="7"/>
  <c r="F17" i="7"/>
  <c r="G4" i="7"/>
  <c r="H4" i="7"/>
  <c r="D17" i="7"/>
  <c r="E17" i="7"/>
  <c r="D18" i="7"/>
  <c r="E18" i="7"/>
  <c r="E19" i="7"/>
  <c r="E20" i="7"/>
  <c r="E21" i="7"/>
  <c r="E22" i="7"/>
  <c r="E23" i="7"/>
  <c r="D23" i="7"/>
  <c r="D19" i="7"/>
  <c r="D20" i="7"/>
  <c r="D21" i="7"/>
  <c r="D22" i="7"/>
  <c r="G8" i="7"/>
  <c r="H8" i="7"/>
  <c r="G9" i="7"/>
  <c r="H9" i="7"/>
  <c r="G10" i="7"/>
  <c r="H10" i="7"/>
  <c r="F81" i="5"/>
  <c r="G7" i="7"/>
  <c r="H5" i="7"/>
  <c r="H6" i="7"/>
  <c r="H7" i="7"/>
  <c r="G5" i="7"/>
  <c r="G6" i="7"/>
  <c r="H42" i="6"/>
  <c r="C32" i="6"/>
  <c r="C33" i="6" s="1"/>
  <c r="C34" i="6" s="1"/>
  <c r="E15" i="6"/>
  <c r="E18" i="6" s="1"/>
  <c r="F15" i="6"/>
  <c r="F18" i="6" s="1"/>
  <c r="G15" i="6"/>
  <c r="G18" i="6" s="1"/>
  <c r="D15" i="6"/>
  <c r="D18" i="6" s="1"/>
  <c r="B32" i="3"/>
  <c r="B31" i="3"/>
  <c r="C30" i="3"/>
  <c r="C33" i="3" s="1"/>
  <c r="D30" i="3"/>
  <c r="D33" i="3" s="1"/>
  <c r="E30" i="3"/>
  <c r="F30" i="3"/>
  <c r="F33" i="3" s="1"/>
  <c r="E33" i="3"/>
  <c r="C9" i="6"/>
  <c r="F85" i="5"/>
  <c r="F86" i="5" s="1"/>
  <c r="C82" i="5"/>
  <c r="C29" i="5"/>
  <c r="D82" i="5"/>
  <c r="E82" i="5"/>
  <c r="F82" i="5"/>
  <c r="D84" i="5"/>
  <c r="C83" i="5"/>
  <c r="E84" i="5"/>
  <c r="F84" i="5"/>
  <c r="C84" i="5"/>
  <c r="D83" i="5"/>
  <c r="E83" i="5"/>
  <c r="F83" i="5"/>
  <c r="D81" i="5"/>
  <c r="D85" i="5" s="1"/>
  <c r="D86" i="5" s="1"/>
  <c r="E81" i="5"/>
  <c r="E85" i="5" s="1"/>
  <c r="E86" i="5" s="1"/>
  <c r="C81" i="5"/>
  <c r="C85" i="5" s="1"/>
  <c r="C86" i="5" s="1"/>
  <c r="G80" i="5"/>
  <c r="H80" i="5" s="1"/>
  <c r="H82" i="5" s="1"/>
  <c r="D27" i="5"/>
  <c r="E27" i="5"/>
  <c r="F27" i="5"/>
  <c r="C27" i="5"/>
  <c r="C32" i="5"/>
  <c r="D31" i="5"/>
  <c r="E31" i="5"/>
  <c r="F31" i="5"/>
  <c r="C31" i="5"/>
  <c r="D30" i="5"/>
  <c r="E30" i="5"/>
  <c r="F30" i="5"/>
  <c r="C30" i="5"/>
  <c r="D29" i="5"/>
  <c r="E29" i="5"/>
  <c r="F29" i="5"/>
  <c r="D28" i="5"/>
  <c r="E28" i="5"/>
  <c r="F28" i="5"/>
  <c r="C28" i="5"/>
  <c r="D26" i="5"/>
  <c r="E26" i="5"/>
  <c r="F26" i="5"/>
  <c r="C26" i="5"/>
  <c r="E7" i="3"/>
  <c r="C11" i="3"/>
  <c r="C13" i="3" s="1"/>
  <c r="D11" i="3"/>
  <c r="D13" i="3" s="1"/>
  <c r="B11" i="3"/>
  <c r="E9" i="3"/>
  <c r="E11" i="3" s="1"/>
  <c r="E13" i="3" s="1"/>
  <c r="C27" i="14" l="1"/>
  <c r="C31" i="14"/>
  <c r="C32" i="14" s="1"/>
  <c r="C45" i="12"/>
  <c r="C16" i="12"/>
  <c r="G21" i="7"/>
  <c r="G22" i="7"/>
  <c r="H17" i="7"/>
  <c r="C25" i="7"/>
  <c r="G29" i="7" s="1"/>
  <c r="G31" i="7" s="1"/>
  <c r="G33" i="7" s="1"/>
  <c r="G20" i="7"/>
  <c r="G18" i="7"/>
  <c r="G23" i="7"/>
  <c r="G17" i="7"/>
  <c r="H18" i="7"/>
  <c r="H19" i="7"/>
  <c r="G19" i="7"/>
  <c r="H23" i="7"/>
  <c r="H22" i="7"/>
  <c r="H21" i="7"/>
  <c r="H20" i="7"/>
  <c r="B30" i="3"/>
  <c r="B33" i="3" s="1"/>
  <c r="G82" i="5"/>
  <c r="C37" i="6"/>
  <c r="I80" i="5"/>
  <c r="I82" i="5" s="1"/>
  <c r="H83" i="5"/>
  <c r="H81" i="5"/>
  <c r="H85" i="5" s="1"/>
  <c r="H84" i="5"/>
  <c r="G81" i="5"/>
  <c r="G84" i="5"/>
  <c r="G83" i="5"/>
  <c r="D14" i="3"/>
  <c r="D15" i="3" s="1"/>
  <c r="C14" i="3"/>
  <c r="C15" i="3" s="1"/>
  <c r="B14" i="3"/>
  <c r="B15" i="3" s="1"/>
  <c r="E14" i="3"/>
  <c r="E15" i="3" s="1"/>
  <c r="C33" i="14" l="1"/>
  <c r="C53" i="14"/>
  <c r="C38" i="14"/>
  <c r="C62" i="14"/>
  <c r="C23" i="12"/>
  <c r="C25" i="12" s="1"/>
  <c r="C26" i="12" s="1"/>
  <c r="D23" i="12" s="1"/>
  <c r="C46" i="12"/>
  <c r="C17" i="12"/>
  <c r="C29" i="7"/>
  <c r="C31" i="7" s="1"/>
  <c r="C33" i="7" s="1"/>
  <c r="G85" i="5"/>
  <c r="G86" i="5" s="1"/>
  <c r="H86" i="5"/>
  <c r="H43" i="6"/>
  <c r="F43" i="6"/>
  <c r="C43" i="6"/>
  <c r="E43" i="6"/>
  <c r="G43" i="6"/>
  <c r="D43" i="6"/>
  <c r="J80" i="5"/>
  <c r="J82" i="5" s="1"/>
  <c r="I84" i="5"/>
  <c r="I83" i="5"/>
  <c r="I81" i="5"/>
  <c r="I85" i="5" s="1"/>
  <c r="I86" i="5" s="1"/>
  <c r="C41" i="14" l="1"/>
  <c r="C57" i="14"/>
  <c r="C63" i="14"/>
  <c r="C18" i="12"/>
  <c r="C37" i="12"/>
  <c r="D25" i="12"/>
  <c r="D26" i="12" s="1"/>
  <c r="D27" i="12" s="1"/>
  <c r="E23" i="12" s="1"/>
  <c r="C44" i="6"/>
  <c r="C49" i="6" s="1"/>
  <c r="K80" i="5"/>
  <c r="K82" i="5" s="1"/>
  <c r="J83" i="5"/>
  <c r="J84" i="5"/>
  <c r="J81" i="5"/>
  <c r="J85" i="5" s="1"/>
  <c r="J86" i="5" s="1"/>
  <c r="D38" i="14" l="1"/>
  <c r="C42" i="14"/>
  <c r="C43" i="14" s="1"/>
  <c r="C41" i="12"/>
  <c r="C47" i="12"/>
  <c r="E25" i="12"/>
  <c r="E26" i="12" s="1"/>
  <c r="E27" i="12" s="1"/>
  <c r="F23" i="12" s="1"/>
  <c r="C51" i="6"/>
  <c r="B56" i="6" s="1"/>
  <c r="K81" i="5"/>
  <c r="K85" i="5" s="1"/>
  <c r="K84" i="5"/>
  <c r="K83" i="5"/>
  <c r="D41" i="14" l="1"/>
  <c r="D42" i="14" s="1"/>
  <c r="D43" i="14" s="1"/>
  <c r="E38" i="14" s="1"/>
  <c r="F25" i="12"/>
  <c r="F26" i="12" s="1"/>
  <c r="F27" i="12" s="1"/>
  <c r="G23" i="12" s="1"/>
  <c r="G25" i="12" s="1"/>
  <c r="G26" i="12" s="1"/>
  <c r="G27" i="12" s="1"/>
  <c r="C32" i="12" s="1"/>
  <c r="C33" i="12" s="1"/>
  <c r="C38" i="12" s="1"/>
  <c r="K86" i="5"/>
  <c r="E41" i="14" l="1"/>
  <c r="E42" i="14" s="1"/>
  <c r="E43" i="14" s="1"/>
  <c r="F38" i="14" s="1"/>
  <c r="G41" i="12"/>
  <c r="C42" i="12" s="1"/>
  <c r="C50" i="12" s="1"/>
  <c r="C54" i="12" s="1"/>
  <c r="C48" i="12"/>
  <c r="C39" i="12"/>
  <c r="C49" i="12" s="1"/>
  <c r="F41" i="14" l="1"/>
  <c r="F42" i="14" s="1"/>
  <c r="F43" i="14" s="1"/>
  <c r="G38" i="14" s="1"/>
  <c r="G41" i="14" l="1"/>
  <c r="G42" i="14" s="1"/>
  <c r="G43" i="14" s="1"/>
  <c r="C48" i="14" s="1"/>
  <c r="C49" i="14" s="1"/>
  <c r="C54" i="14" s="1"/>
  <c r="G57" i="14" l="1"/>
  <c r="C58" i="14" s="1"/>
  <c r="C66" i="14" s="1"/>
  <c r="C70" i="14" s="1"/>
  <c r="C55" i="14"/>
  <c r="C64" i="14"/>
  <c r="C65" i="14" l="1"/>
  <c r="G58" i="14"/>
</calcChain>
</file>

<file path=xl/sharedStrings.xml><?xml version="1.0" encoding="utf-8"?>
<sst xmlns="http://schemas.openxmlformats.org/spreadsheetml/2006/main" count="462" uniqueCount="259">
  <si>
    <t>FCFF</t>
  </si>
  <si>
    <t>Dotation aux amortissement (D&amp;A)</t>
  </si>
  <si>
    <t>P&amp;L</t>
  </si>
  <si>
    <t>Revenue (Chiffres d'affaires)</t>
  </si>
  <si>
    <t>CAPEX</t>
  </si>
  <si>
    <t>Balance Sheet</t>
  </si>
  <si>
    <t>Cash (Trésorie et esquivalents de trésorie)</t>
  </si>
  <si>
    <t xml:space="preserve">Gross Debt </t>
  </si>
  <si>
    <t>Nette debt = Gross Debt - Cash</t>
  </si>
  <si>
    <t>6.1.3 État de la situation financière</t>
  </si>
  <si>
    <t>6.1.1 Compte de résultat consolidé</t>
  </si>
  <si>
    <t>Résulat financier</t>
  </si>
  <si>
    <t>Impôt sur les résulats</t>
  </si>
  <si>
    <t>Résulat opérationne= Résulat d'exploitation après résulats des mises en esquivalence + produits et charges non courrants = Résultat d'exploitation courant + Quote-part + produits et charges non courant =  EBITDA + D&amp;A + Quote-part + produits et charges non courant</t>
  </si>
  <si>
    <t>EBIT (Résultat opérationnel avec quote-part)</t>
  </si>
  <si>
    <t>Résultat avant impôts</t>
  </si>
  <si>
    <t>Taux d'impôt sur société(réelle)</t>
  </si>
  <si>
    <t>Taux d'impôt standarisé</t>
  </si>
  <si>
    <t>On néglige les années anormales (2021 et 2023)</t>
  </si>
  <si>
    <t>Chiffres d'affaires - Charges d'exploitation courantes</t>
  </si>
  <si>
    <t>Ecart de taux</t>
  </si>
  <si>
    <t>CAPEX (Acquisitions d'immobilisations corporelles et incorporelles)</t>
  </si>
  <si>
    <t>Lease payments (Remboursement de la dette de loyers (hors intérêts))</t>
  </si>
  <si>
    <t>EBITDA (EBE courant)</t>
  </si>
  <si>
    <t>CFO (Flux de trésorie liés aux activités opérationnelles (A))</t>
  </si>
  <si>
    <t>6.1.4 Tableau des flux de trésorie</t>
  </si>
  <si>
    <t>4.4 Besoin en Fonds de Roulement</t>
  </si>
  <si>
    <t>BFR</t>
  </si>
  <si>
    <t>BFR(Besoin en fonds de roulement avec effet de trésorie)</t>
  </si>
  <si>
    <t>ΔBFR (Variations du besoin en fonds de roulement sans effet de trésorie)</t>
  </si>
  <si>
    <t>!!!Pour calculer de variations de BFR 2024, on va utiliser les données des derniers états financiers</t>
  </si>
  <si>
    <t>!!!Comme 2024, Accor reconstruit l'entreprise. Elle a donc aujusté la valeur de BFR 2023 à - 49 au lieu de -109 comme dans états financiers 2024, mais on enregistre la valeur de BFR 2023 indiqué dans ceux de 2023</t>
  </si>
  <si>
    <t>Cash Flow Statement</t>
  </si>
  <si>
    <t>Ratios</t>
  </si>
  <si>
    <t>EBITDA Marginale</t>
  </si>
  <si>
    <t xml:space="preserve">ΔBFR </t>
  </si>
  <si>
    <t xml:space="preserve">Lease payments </t>
  </si>
  <si>
    <t>ΔBFR</t>
  </si>
  <si>
    <t>CFO</t>
  </si>
  <si>
    <t xml:space="preserve">CAPEX </t>
  </si>
  <si>
    <t>Commentaires de tendance analytique</t>
  </si>
  <si>
    <t>Une augmentation de CAPEAX de 2021 (80 M euros) à 2024 (293 M euros) en fonction de l'investissement de l'acquisition pour élargir l'échellle</t>
  </si>
  <si>
    <t>Une amélioration de EBITDA marginale de 2021 (10%) à 2024 (20%), ce qui confirme un revient au état normal.Cela indique que les activités des entreprises relance progressivement après Covid-19</t>
  </si>
  <si>
    <t>Cela cohérence avec ΔBFR % Revenue  diminue beaucoup de 2021 à 2023, mais retourne de 2023 à 2024</t>
  </si>
  <si>
    <t>Analyse de la tendance</t>
  </si>
  <si>
    <t>Prévision de 5 ans (de 2025 à 2029)</t>
  </si>
  <si>
    <t xml:space="preserve"> </t>
  </si>
  <si>
    <t>1. Le taux de croissance de Accor a tendance à diminuer à partir de la fin de 2022 après la reprise de Covid-19 . Jus'quà 2024, il atteint 10.88%, mais il ne peut pas maintenir définitivement.</t>
  </si>
  <si>
    <t>A. La croissance de revenue</t>
  </si>
  <si>
    <t xml:space="preserve">et Luxe&amp;Lifestyle augmente de 7.3% (Lux:7.0%, Lifestyle: 8.6%) </t>
  </si>
  <si>
    <t xml:space="preserve">2.Selon Guifance de l'entreprise. Dans états financiers 2025 de Accor, il mention que le RevPAR total  va augementer de 4.2% par raport de 2024 où premium, mid.&amp;Eco augmente de 2.7% </t>
  </si>
  <si>
    <t>1. Normalisation: À partir de 2022, EBITDA Marginale rest entre 19.8% et 20%. Cela indique que l’entreprise a achevé son processus de reprise et qu’elle opère désormais dans un état de « nouvelle normalité ».</t>
  </si>
  <si>
    <t>À l’inverse, une forte volatilité de la marge serait atypique pour ce type d’activité.</t>
  </si>
  <si>
    <t>2. Spécificités du secteur : Avec un modèle asset-light comme celui d’Accor (principalement basé sur la gestion et la franchise), une marge d’EBITDA élevée et stable est normale</t>
  </si>
  <si>
    <t>IL est raisonnable de retenir une marge constante de 20 % sur l’ensemble de la période de projection. Cette hypothèse est couramment utilisée pour les entreprises matures.</t>
  </si>
  <si>
    <t>https://group.accor.com/fr/finance/periodic-information</t>
  </si>
  <si>
    <t xml:space="preserve">3. Point de vue prudent: La principe prudent de Investment Banking me posse à choisir le taux de croissance entre 3.5% et 4.5% pour 2025, ce qui est plus élevé que le taux de croissance espéré de PIB de la zone euro (environ de 1.5% et 2.5%). </t>
  </si>
  <si>
    <t>B. EBITA mariginal (20%)</t>
  </si>
  <si>
    <t>CAPEX % Revenu</t>
  </si>
  <si>
    <t>BFR % Revenu</t>
  </si>
  <si>
    <t>ΔBFR % Revenu</t>
  </si>
  <si>
    <t>1. le ratio CAPEX/Chiffre d’affaires d’Accor au cours des trois dernières années (2022-2024) a fluctué très légèrement autour de 5,1 %.</t>
  </si>
  <si>
    <t>2. En tant qu’entreprise asset-light, Accor n’a pas besoin d’investir massivement dans la construction de nouveaux hôtels. Les dépenses d’investissement concernent principalement la maintenance, la rénovation et les systèmes informatiques (IT, logiciels).</t>
  </si>
  <si>
    <t>un ratio de CAPEX faible et stable est cohérent avec la nature de son activité.</t>
  </si>
  <si>
    <t>un ratio de 5,1 % pour les années de projection, en me basant sur la moyenne observée sur les trois dernières années. Il s’agit d’une approche « rule-based », fondée sur les données historiques, et non d’une hypothèse arbitraire.</t>
  </si>
  <si>
    <t>C. CAPEX % Revenu(5.1%)</t>
  </si>
  <si>
    <t>D&amp;A % Revenu</t>
  </si>
  <si>
    <t>Revenu</t>
  </si>
  <si>
    <t>EBITDA marginal</t>
  </si>
  <si>
    <t>BFR% Revenu et  ΔBFR % Revenu</t>
  </si>
  <si>
    <t>Une forte acroit de BFR % Revenu de 2021 à 2022, ce qui aborde un investissement massif de reprise des activités d'exploitation après crise. Et BFR%Revenu a tendance de diminue de 2022 à 2024</t>
  </si>
  <si>
    <t>Une diminuation de Amortissation % Revenue à partir de 2022, ce qui maintenant environ de 5.5% et 6%</t>
  </si>
  <si>
    <t>D. Dotation aux amortissements % Revenu (5.8%)</t>
  </si>
  <si>
    <t>1. le ratio D&amp;A/Chiffre d’affaires d’Accor a évolué dans une fourchette étroite comprise entre 5,5 % et 6,1 % (soit une moyenne d’environ 5,8 %).</t>
  </si>
  <si>
    <t>2.  Cette stabilité reflète le modèle asset-light du groupe, dans lequel les actifs fixes — et donc les dotations aux amortissements et dépréciations — progressent de manière relativement proportionnelle et stable avec l’échelle de l’activité.</t>
  </si>
  <si>
    <t>l’hypothèse d’un ratio D&amp;A/Chiffre d’affaires constant à 5,8 % sur la période de projection 2025-2029</t>
  </si>
  <si>
    <t>En tant que groupe opérant selon un modèle asset-light, Accor ne détient pas la majorité des actifs hôteliers et perçoit principalement des frais de gestion et de franchise. Par conséquent, le besoin en fonds de roulement (BFR) de l’entreprise est structurellement faible et peu volatil au fil des années</t>
  </si>
  <si>
    <t>Ces variations s’expliquent principalement par des effets de décalage de paiement (timing differences) plutôt que par une modification fondamentale du modèle économique. À long terme, l’impact des variations du BFR sur les flux de trésorerie demeure donc marginal.</t>
  </si>
  <si>
    <t>Taux de croissance de revenu annuel</t>
  </si>
  <si>
    <t>Taux de croissance de revenu annuel de 4 ans</t>
  </si>
  <si>
    <t>EBITDA</t>
  </si>
  <si>
    <t>D&amp;A</t>
  </si>
  <si>
    <t>Colonne1</t>
  </si>
  <si>
    <t>2021</t>
  </si>
  <si>
    <t>2022</t>
  </si>
  <si>
    <t>2023</t>
  </si>
  <si>
    <t>2024</t>
  </si>
  <si>
    <t>2025</t>
  </si>
  <si>
    <t>2026</t>
  </si>
  <si>
    <t>2027</t>
  </si>
  <si>
    <t>2028</t>
  </si>
  <si>
    <t>2029</t>
  </si>
  <si>
    <t>E.  ΔBFR % Revenu (0.05%)</t>
  </si>
  <si>
    <t>Nous retenons l’hypothèse ΔBFR = 0.05% de renvenu sur la période de projection 2025-2029 pour éviter le cas extrême</t>
  </si>
  <si>
    <t>Taux d'impôt sur société standarisé (25%)</t>
  </si>
  <si>
    <t>EBIT = EBITDA - D&amp;A</t>
  </si>
  <si>
    <t xml:space="preserve">FCFF = EBIT * (1-taxe) + D&amp;A - CAPEX - ΔBFR </t>
  </si>
  <si>
    <t>en %</t>
  </si>
  <si>
    <t>En milions dollars</t>
  </si>
  <si>
    <t>2020</t>
  </si>
  <si>
    <t>En %</t>
  </si>
  <si>
    <t>Au cours du calcul du FCFF sur la période 2021-2024, nous avons constaté des écarts par rapport aux montants présentés dans les états financiers d’Accor.</t>
  </si>
  <si>
    <t>Attention</t>
  </si>
  <si>
    <t xml:space="preserve"> La principale raison tient au fait que nous avons initialement utilisé un EBIT incluant la « quote-part dans les résultats des sociétés mises en équivalence » ainsi que les « produits et charges non courants ».</t>
  </si>
  <si>
    <t>Or, la quote-part correspond à des résultats non nécessairement encaissés en trésorerie, tandis que les éléments non courants sont exceptionnels et non récurrents.</t>
  </si>
  <si>
    <t xml:space="preserve">Dans le cadre du modèle DCF, nous avons donc choisi d’exclure entièrement ces deux composantes afin de nous concentrer sur le cœur d’activité (core business) générateur de flux de trésorerie prévisibles. </t>
  </si>
  <si>
    <t>Cette approche est conforme aux principes standards de la valorisation par DCF, qui privilégient les performances opérationnelles récurrentes et soutenables.</t>
  </si>
  <si>
    <t>β beta</t>
  </si>
  <si>
    <t>https://pages.stern.nyu.edu/~adamodar/New_Home_Page/datafile/ctryprem.html</t>
  </si>
  <si>
    <t>Source</t>
  </si>
  <si>
    <t>Valeur</t>
  </si>
  <si>
    <t>https://fr.finance.yahoo.com/quote/AC.PA/</t>
  </si>
  <si>
    <t>OAT 10 ans</t>
  </si>
  <si>
    <t>rf (taux sans risque)</t>
  </si>
  <si>
    <t>Cout de dette</t>
  </si>
  <si>
    <t>Cout de capital</t>
  </si>
  <si>
    <t>rf + β * ERP</t>
  </si>
  <si>
    <t>Cout de capital re</t>
  </si>
  <si>
    <t>Intérêts des emprunts obligataires et bancaires</t>
  </si>
  <si>
    <t>Cout de dette (États financiers)</t>
  </si>
  <si>
    <t xml:space="preserve"> Intérêts des emprunts obligataires et bancaires</t>
  </si>
  <si>
    <t>6. 11.1. Résultat financier</t>
  </si>
  <si>
    <t>Attention: Pour 2020, montant retraités dans le cardre de l'allocation du prix d'acquisition de SBE acquis en 2020. On utilise donc, données 2020 dans États financiers 2020</t>
  </si>
  <si>
    <t xml:space="preserve">    Dettes financières non courantes (Long-term financial debt)</t>
  </si>
  <si>
    <t xml:space="preserve">    Dettes financièrees courantes(Short-term financial debt)</t>
  </si>
  <si>
    <t>6.11.3.2. Risque de taux</t>
  </si>
  <si>
    <t>Gross Debt moyenne</t>
  </si>
  <si>
    <t>Cout de dette (Calcul)</t>
  </si>
  <si>
    <t xml:space="preserve">re (Cout de capital) </t>
  </si>
  <si>
    <t>Commentaire: Comme le cout de dette annoncé dans états financiers et calcul à la maine a teandance à augmenter annuellement</t>
  </si>
  <si>
    <t>Cout de dette (états financiers)</t>
  </si>
  <si>
    <t>Le coût de la dette (Rd) est estimé sur la base du rendement des obligations d’entreprise à maturité 7-10 ans émises par des sociétés présentant une notation de crédit comparable à celle d’Accor (BBB-),</t>
  </si>
  <si>
    <t>Dans la période de projection, nous supposons que les dettes arrivant à maturité seront refinancées à des taux plus élevés, en cohérence avec l’environnement actuel de taux et les anticipations de marché.</t>
  </si>
  <si>
    <t>Bien que le coût moyen de la dette en 2024 ne s’élève qu’à 2,53 % dans états financiers ou à 3.5% de calcul à la maine, ce niveau reflète principalement des dettes émises durant la période de taux bas.</t>
  </si>
  <si>
    <t>en tenant compte également de la tendance à la hausse des taux d’intérêt dans un contexte de politique monétaire restrictive au sein de la zone euro.</t>
  </si>
  <si>
    <t>Donc, on prévoit que le cout de dette peut augmenter de 4% à 5% dans 5 ans suivantes. On va prendre la moyenne de 4.5% pour rendre l'analyse plus simple</t>
  </si>
  <si>
    <t>Structure de capital et de dette</t>
  </si>
  <si>
    <t>Capital propres (E)</t>
  </si>
  <si>
    <t>Capitaux Propres</t>
  </si>
  <si>
    <t>Valuer total = D + E</t>
  </si>
  <si>
    <t>D/V</t>
  </si>
  <si>
    <t>E/V</t>
  </si>
  <si>
    <t>WACC = E/V * re + D/V*rd*(1-t)</t>
  </si>
  <si>
    <t>WACC</t>
  </si>
  <si>
    <t>ERP (Prime de risque du marché - France)</t>
  </si>
  <si>
    <t>DCF</t>
  </si>
  <si>
    <t>Valeur actualisée</t>
  </si>
  <si>
    <t>Valeur terminale</t>
  </si>
  <si>
    <t>Valeur d'entreprise</t>
  </si>
  <si>
    <t>…</t>
  </si>
  <si>
    <t>Valeur de capitaux propres</t>
  </si>
  <si>
    <t>Taux de croissance de revenu à long terme</t>
  </si>
  <si>
    <t>11.2.1. Dette financière nette</t>
  </si>
  <si>
    <t>13.1.1 Évolution du capital</t>
  </si>
  <si>
    <t>Valeur de chaque action</t>
  </si>
  <si>
    <t>Sensibilité</t>
  </si>
  <si>
    <t>g</t>
  </si>
  <si>
    <t>Nette dette (D)</t>
  </si>
  <si>
    <t>Dette financière nette(IFRS 6)</t>
  </si>
  <si>
    <t>Entreprise</t>
  </si>
  <si>
    <t>Hyatt Hotels</t>
  </si>
  <si>
    <t>Ticket</t>
  </si>
  <si>
    <t>HLT</t>
  </si>
  <si>
    <t>WH</t>
  </si>
  <si>
    <t>Dette Nette</t>
  </si>
  <si>
    <t>EV/EBITDA</t>
  </si>
  <si>
    <t>EV</t>
  </si>
  <si>
    <t xml:space="preserve"> ce qui travduit par une expansion après la crise. Mais cette tendance a diminué continuellement de 2022 à 2024</t>
  </si>
  <si>
    <t>Market Cap</t>
  </si>
  <si>
    <t>USD</t>
  </si>
  <si>
    <t>Unité</t>
  </si>
  <si>
    <t>Valuation Measures 10/02/2025</t>
  </si>
  <si>
    <t>Whitbread PLC</t>
  </si>
  <si>
    <t>WTB</t>
  </si>
  <si>
    <t>https://finance.yahoo.com/quote/WTB.L/</t>
  </si>
  <si>
    <t>https://finance.yahoo.com/quote/H/</t>
  </si>
  <si>
    <t>Valuation Measures 10/03/2025</t>
  </si>
  <si>
    <t>Millions dollar</t>
  </si>
  <si>
    <t>Millions euros</t>
  </si>
  <si>
    <t>1USD/EUR</t>
  </si>
  <si>
    <t>EUR</t>
  </si>
  <si>
    <t>Médian de EV/EBITDA</t>
  </si>
  <si>
    <t xml:space="preserve">EBITA </t>
  </si>
  <si>
    <t>Market cap</t>
  </si>
  <si>
    <t>Prix d'action</t>
  </si>
  <si>
    <t>Nombre d'action</t>
  </si>
  <si>
    <t>Nombre d'actions au 31 décembre 2024</t>
  </si>
  <si>
    <t>VE potentiel</t>
  </si>
  <si>
    <t>Information Accor  (états financiers 2024)  (euros)</t>
  </si>
  <si>
    <t>Information Accor  (Prévison 2025)  (euros)</t>
  </si>
  <si>
    <t xml:space="preserve"> Et il diminuera ensuite à 1.5% - c'est la croissance durable pour une grande entreprise défensive comme Accor</t>
  </si>
  <si>
    <t>Choice Hotels International</t>
  </si>
  <si>
    <t>CHH</t>
  </si>
  <si>
    <t>https://finance.yahoo.com/quote/CHH/</t>
  </si>
  <si>
    <t>Wyndham Hotels &amp; Resorts</t>
  </si>
  <si>
    <t>https://fr.finance.yahoo.com/quote/WH/</t>
  </si>
  <si>
    <t>https://finance.yahoo.com/quote/HTHT/</t>
  </si>
  <si>
    <t>H World Group Ltd</t>
  </si>
  <si>
    <t>HTHT</t>
  </si>
  <si>
    <t>HST</t>
  </si>
  <si>
    <t>Host Hotels &amp; Resorts</t>
  </si>
  <si>
    <t>https://finance.yahoo.com/quote/HST/</t>
  </si>
  <si>
    <t>Shangri-La Asia Limited</t>
  </si>
  <si>
    <t>SHALY</t>
  </si>
  <si>
    <t>https://finance.yahoo.com/quote/0069.HK/</t>
  </si>
  <si>
    <t>Valuation Measures 16/02/2025</t>
  </si>
  <si>
    <t>Hypothèse</t>
  </si>
  <si>
    <t>EBITDA 2025 (DCF)</t>
  </si>
  <si>
    <t>EBITDA 2029 (DCF)</t>
  </si>
  <si>
    <t>Dette</t>
  </si>
  <si>
    <t>Intérêt</t>
  </si>
  <si>
    <t>FCFF après intérêt</t>
  </si>
  <si>
    <t>Hypothèse d'entrée</t>
  </si>
  <si>
    <t>Valeur d'entreprise d'entrée</t>
  </si>
  <si>
    <t>Valeur d'entreprise du rachat</t>
  </si>
  <si>
    <t>Taux d'endettement</t>
  </si>
  <si>
    <t>Taux d'intérêt d'endettement</t>
  </si>
  <si>
    <t>Durée de détention (année)</t>
  </si>
  <si>
    <t>Multiple de sortie</t>
  </si>
  <si>
    <t>Structure du financement</t>
  </si>
  <si>
    <t>Fonds propres</t>
  </si>
  <si>
    <t>Total de sources</t>
  </si>
  <si>
    <t>Calendrier de remboursement de la dette</t>
  </si>
  <si>
    <t>Dette début de période</t>
  </si>
  <si>
    <t>Dette fin de période</t>
  </si>
  <si>
    <t>Calcul de la sortie</t>
  </si>
  <si>
    <t>Valeur d'entreprise de sortie</t>
  </si>
  <si>
    <t>Dette fin 2020</t>
  </si>
  <si>
    <t>Fonds propres de sortie</t>
  </si>
  <si>
    <t>Rendement pour l'investisseur</t>
  </si>
  <si>
    <t>Fonds propres investis</t>
  </si>
  <si>
    <t>Fonds propres récupérés</t>
  </si>
  <si>
    <t>Multiple (MOIC)</t>
  </si>
  <si>
    <t>TRI (IRR)</t>
  </si>
  <si>
    <t>Synthèse de l'opération LBO</t>
  </si>
  <si>
    <t>Prix d'acquisition</t>
  </si>
  <si>
    <t>Dette mise en place</t>
  </si>
  <si>
    <t>Fonds propres apportés</t>
  </si>
  <si>
    <t>Fonds propres récupérés (5 ans)</t>
  </si>
  <si>
    <t>MOIC</t>
  </si>
  <si>
    <t>TRI</t>
  </si>
  <si>
    <t>taux d'endettement</t>
  </si>
  <si>
    <t>Sensibilité de TRI</t>
  </si>
  <si>
    <t xml:space="preserve"> 13,998.68 </t>
  </si>
  <si>
    <t>Frais du rachat</t>
  </si>
  <si>
    <t>Millions USD</t>
  </si>
  <si>
    <t>Millions EUR</t>
  </si>
  <si>
    <t>EBITDA Marriott (2024)</t>
  </si>
  <si>
    <t xml:space="preserve">EBITDA Accor (2024) </t>
  </si>
  <si>
    <t>EBITDA Total</t>
  </si>
  <si>
    <t>Synergies</t>
  </si>
  <si>
    <t>Effet de synergies</t>
  </si>
  <si>
    <t xml:space="preserve">Si Marriott acquiert Accor, l'EBITDA combiné atteindrait environ 5,3 Mds€. </t>
  </si>
  <si>
    <t xml:space="preserve">Avec un taux de synergies raisonnable de 3%, cela représenterait près de 160 M€ d'EBITDA supplémentaire par an, </t>
  </si>
  <si>
    <t>améliorant significativement la rentabilité et la création de valeur post-acquisition</t>
  </si>
  <si>
    <t>FCFF avec synergies</t>
  </si>
  <si>
    <t>FCFF sans synergies</t>
  </si>
  <si>
    <t>FCFF après intérêt (avec synergies)</t>
  </si>
  <si>
    <t>Une augmentation de revenu annuel de 2021 (2024 M euros) à 2024  (5606 M euros), avec une taux de 26,3% croissance annuel.  Notamment, le taux de revenu a accru beaucoup de 2021 à 2022 (de 91.65%)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</si>
</sst>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00%"/>
    <numFmt numFmtId="166" formatCode="0.000000%"/>
    <numFmt numFmtId="167" formatCode="_(* #,##0.000_);_(* \(#,##0.000\);_(* &quot;-&quot;??_);_(@_)"/>
  </numFmts>
  <fonts count="19"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9"/>
      <color rgb="FF0F1115"/>
      <name val="Segoe UI"/>
      <family val="2"/>
    </font>
    <font>
      <i/>
      <sz val="11"/>
      <color theme="1"/>
      <name val="Aptos Narrow"/>
      <family val="2"/>
      <scheme val="minor"/>
    </font>
    <font>
      <u/>
      <sz val="11"/>
      <color theme="10"/>
      <name val="Aptos Narrow"/>
      <family val="2"/>
      <scheme val="minor"/>
    </font>
    <font>
      <sz val="10"/>
      <color rgb="FF0F1115"/>
      <name val="Segoe UI"/>
      <family val="2"/>
    </font>
    <font>
      <sz val="11"/>
      <name val="Aptos Narrow"/>
      <family val="2"/>
      <scheme val="minor"/>
    </font>
    <font>
      <b/>
      <sz val="11"/>
      <name val="Aptos Narrow"/>
      <family val="2"/>
      <scheme val="minor"/>
    </font>
    <font>
      <sz val="11"/>
      <color theme="1"/>
      <name val="Aptos Display"/>
      <family val="2"/>
      <scheme val="major"/>
    </font>
    <font>
      <i/>
      <sz val="11"/>
      <color theme="1"/>
      <name val="Aptos Display"/>
      <family val="2"/>
      <scheme val="major"/>
    </font>
    <font>
      <sz val="11"/>
      <color rgb="FF0F1115"/>
      <name val="Aptos Display"/>
      <family val="2"/>
      <scheme val="major"/>
    </font>
    <font>
      <sz val="11"/>
      <color rgb="FF232A31"/>
      <name val="Aptos Display"/>
      <family val="2"/>
      <scheme val="major"/>
    </font>
    <font>
      <u/>
      <sz val="11"/>
      <color theme="10"/>
      <name val="Aptos Display"/>
      <family val="2"/>
      <scheme val="major"/>
    </font>
    <font>
      <b/>
      <sz val="11"/>
      <color theme="0"/>
      <name val="Aptos Display"/>
      <family val="2"/>
      <scheme val="major"/>
    </font>
    <font>
      <b/>
      <sz val="11"/>
      <color theme="1"/>
      <name val="Aptos Display"/>
      <family val="2"/>
      <scheme val="major"/>
    </font>
    <font>
      <b/>
      <i/>
      <sz val="11"/>
      <color theme="1"/>
      <name val="Aptos Display"/>
      <family val="2"/>
      <scheme val="major"/>
    </font>
  </fonts>
  <fills count="11">
    <fill>
      <patternFill patternType="none"/>
    </fill>
    <fill>
      <patternFill patternType="gray125"/>
    </fill>
    <fill>
      <patternFill patternType="solid">
        <fgColor theme="8"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rgb="FFFFFF00"/>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0" tint="-0.14999847407452621"/>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cellStyleXfs>
  <cellXfs count="132">
    <xf numFmtId="0" fontId="0" fillId="0" borderId="0" xfId="0"/>
    <xf numFmtId="0" fontId="0" fillId="0" borderId="0" xfId="0" applyAlignment="1">
      <alignment horizontal="center"/>
    </xf>
    <xf numFmtId="0" fontId="5" fillId="0" borderId="0" xfId="0" applyFont="1"/>
    <xf numFmtId="0" fontId="3" fillId="0" borderId="0" xfId="0" applyFont="1" applyAlignment="1">
      <alignment horizontal="center"/>
    </xf>
    <xf numFmtId="43" fontId="0" fillId="0" borderId="0" xfId="1" applyFont="1"/>
    <xf numFmtId="0" fontId="0" fillId="5" borderId="0" xfId="0" applyFill="1"/>
    <xf numFmtId="10" fontId="0" fillId="0" borderId="0" xfId="0" applyNumberFormat="1"/>
    <xf numFmtId="9" fontId="0" fillId="0" borderId="0" xfId="0" applyNumberFormat="1"/>
    <xf numFmtId="43" fontId="0" fillId="0" borderId="0" xfId="0" applyNumberFormat="1"/>
    <xf numFmtId="0" fontId="8" fillId="0" borderId="0" xfId="0" applyFont="1"/>
    <xf numFmtId="0" fontId="7" fillId="0" borderId="0" xfId="3"/>
    <xf numFmtId="43" fontId="0" fillId="0" borderId="0" xfId="1" applyFont="1" applyBorder="1"/>
    <xf numFmtId="43" fontId="0" fillId="0" borderId="1" xfId="1" applyFont="1" applyBorder="1"/>
    <xf numFmtId="165" fontId="0" fillId="0" borderId="1" xfId="2" applyNumberFormat="1" applyFont="1" applyBorder="1"/>
    <xf numFmtId="43" fontId="0" fillId="0" borderId="3" xfId="1" applyFont="1" applyBorder="1"/>
    <xf numFmtId="10" fontId="0" fillId="0" borderId="3" xfId="2" applyNumberFormat="1" applyFont="1" applyBorder="1"/>
    <xf numFmtId="43" fontId="0" fillId="0" borderId="7" xfId="1" applyFont="1" applyBorder="1"/>
    <xf numFmtId="165" fontId="0" fillId="0" borderId="21" xfId="2" applyNumberFormat="1" applyFont="1" applyBorder="1"/>
    <xf numFmtId="165" fontId="0" fillId="0" borderId="5" xfId="2" applyNumberFormat="1" applyFont="1" applyBorder="1"/>
    <xf numFmtId="0" fontId="4" fillId="0" borderId="13" xfId="0" applyFont="1" applyBorder="1"/>
    <xf numFmtId="0" fontId="9" fillId="0" borderId="13" xfId="0" applyFont="1" applyBorder="1"/>
    <xf numFmtId="0" fontId="10" fillId="7" borderId="15" xfId="0" applyFont="1" applyFill="1" applyBorder="1"/>
    <xf numFmtId="0" fontId="10" fillId="3" borderId="0" xfId="0" applyFont="1" applyFill="1" applyAlignment="1">
      <alignment horizontal="center"/>
    </xf>
    <xf numFmtId="0" fontId="9" fillId="3" borderId="14" xfId="0" applyFont="1" applyFill="1" applyBorder="1"/>
    <xf numFmtId="167" fontId="9" fillId="0" borderId="0" xfId="1" applyNumberFormat="1" applyFont="1" applyFill="1" applyBorder="1"/>
    <xf numFmtId="167" fontId="9" fillId="0" borderId="14" xfId="1" applyNumberFormat="1" applyFont="1" applyFill="1" applyBorder="1"/>
    <xf numFmtId="167" fontId="10" fillId="7" borderId="16" xfId="1" applyNumberFormat="1" applyFont="1" applyFill="1" applyBorder="1"/>
    <xf numFmtId="167" fontId="9" fillId="0" borderId="16" xfId="1" applyNumberFormat="1" applyFont="1" applyFill="1" applyBorder="1"/>
    <xf numFmtId="167" fontId="9" fillId="0" borderId="17" xfId="1" applyNumberFormat="1" applyFont="1" applyFill="1" applyBorder="1"/>
    <xf numFmtId="0" fontId="3" fillId="4" borderId="22" xfId="0" applyFont="1" applyFill="1" applyBorder="1" applyAlignment="1">
      <alignment horizontal="center"/>
    </xf>
    <xf numFmtId="0" fontId="3" fillId="4" borderId="7" xfId="0" applyFont="1" applyFill="1" applyBorder="1" applyAlignment="1">
      <alignment horizontal="center"/>
    </xf>
    <xf numFmtId="43" fontId="9" fillId="0" borderId="14" xfId="1" applyFont="1" applyFill="1" applyBorder="1"/>
    <xf numFmtId="43" fontId="0" fillId="0" borderId="16" xfId="1" applyFont="1" applyBorder="1"/>
    <xf numFmtId="0" fontId="3" fillId="0" borderId="0" xfId="0" applyFont="1"/>
    <xf numFmtId="0" fontId="6" fillId="0" borderId="0" xfId="0" applyFont="1"/>
    <xf numFmtId="0" fontId="0" fillId="0" borderId="13" xfId="0" applyBorder="1"/>
    <xf numFmtId="0" fontId="0" fillId="0" borderId="14" xfId="0" applyBorder="1"/>
    <xf numFmtId="0" fontId="0" fillId="0" borderId="17" xfId="0" applyBorder="1"/>
    <xf numFmtId="164" fontId="0" fillId="0" borderId="16" xfId="2" applyNumberFormat="1" applyFont="1" applyBorder="1" applyAlignment="1"/>
    <xf numFmtId="0" fontId="11" fillId="0" borderId="0" xfId="0" applyFont="1"/>
    <xf numFmtId="0" fontId="12" fillId="0" borderId="0" xfId="0" applyFont="1"/>
    <xf numFmtId="0" fontId="13" fillId="0" borderId="0" xfId="0" applyFont="1"/>
    <xf numFmtId="0" fontId="14" fillId="0" borderId="0" xfId="0" applyFont="1" applyAlignment="1">
      <alignment vertical="center" wrapText="1"/>
    </xf>
    <xf numFmtId="3" fontId="14" fillId="0" borderId="0" xfId="0" applyNumberFormat="1" applyFont="1"/>
    <xf numFmtId="3" fontId="11" fillId="0" borderId="0" xfId="0" applyNumberFormat="1" applyFont="1"/>
    <xf numFmtId="0" fontId="15" fillId="0" borderId="0" xfId="3" applyFont="1"/>
    <xf numFmtId="0" fontId="13" fillId="2" borderId="18" xfId="0" applyFont="1" applyFill="1" applyBorder="1"/>
    <xf numFmtId="0" fontId="13" fillId="0" borderId="20" xfId="0" applyFont="1" applyBorder="1"/>
    <xf numFmtId="0" fontId="11" fillId="0" borderId="13" xfId="0" applyFont="1" applyBorder="1"/>
    <xf numFmtId="0" fontId="11" fillId="0" borderId="14" xfId="0" applyFont="1" applyBorder="1"/>
    <xf numFmtId="0" fontId="13" fillId="0" borderId="13" xfId="0" applyFont="1" applyBorder="1"/>
    <xf numFmtId="43" fontId="11" fillId="0" borderId="14" xfId="1" applyFont="1" applyBorder="1"/>
    <xf numFmtId="43" fontId="11" fillId="0" borderId="14" xfId="0" applyNumberFormat="1" applyFont="1" applyBorder="1"/>
    <xf numFmtId="43" fontId="11" fillId="0" borderId="0" xfId="1" applyFont="1" applyBorder="1"/>
    <xf numFmtId="0" fontId="13" fillId="0" borderId="15" xfId="0" applyFont="1" applyBorder="1"/>
    <xf numFmtId="0" fontId="11" fillId="0" borderId="17" xfId="0" applyFont="1" applyBorder="1"/>
    <xf numFmtId="43" fontId="11" fillId="0" borderId="17" xfId="0" applyNumberFormat="1" applyFont="1" applyBorder="1"/>
    <xf numFmtId="43" fontId="11" fillId="0" borderId="0" xfId="0" applyNumberFormat="1" applyFont="1"/>
    <xf numFmtId="0" fontId="0" fillId="0" borderId="6" xfId="0" applyBorder="1"/>
    <xf numFmtId="0" fontId="0" fillId="0" borderId="7" xfId="0" applyBorder="1" applyAlignment="1">
      <alignment horizontal="center"/>
    </xf>
    <xf numFmtId="0" fontId="0" fillId="0" borderId="2" xfId="0" applyBorder="1"/>
    <xf numFmtId="10" fontId="0" fillId="0" borderId="3" xfId="0" applyNumberFormat="1" applyBorder="1"/>
    <xf numFmtId="0" fontId="0" fillId="0" borderId="3" xfId="0" applyBorder="1"/>
    <xf numFmtId="0" fontId="0" fillId="0" borderId="4" xfId="0" applyBorder="1"/>
    <xf numFmtId="166" fontId="0" fillId="0" borderId="5" xfId="0" applyNumberFormat="1" applyBorder="1"/>
    <xf numFmtId="166" fontId="0" fillId="0" borderId="0" xfId="0" applyNumberFormat="1"/>
    <xf numFmtId="0" fontId="0" fillId="0" borderId="1" xfId="0" applyBorder="1"/>
    <xf numFmtId="9" fontId="0" fillId="0" borderId="1" xfId="0" applyNumberFormat="1" applyBorder="1"/>
    <xf numFmtId="10" fontId="0" fillId="0" borderId="1" xfId="0" applyNumberFormat="1" applyBorder="1"/>
    <xf numFmtId="0" fontId="0" fillId="0" borderId="21" xfId="0" applyBorder="1"/>
    <xf numFmtId="10" fontId="0" fillId="0" borderId="5" xfId="0" applyNumberFormat="1" applyBorder="1"/>
    <xf numFmtId="9" fontId="0" fillId="0" borderId="15" xfId="0" applyNumberFormat="1" applyBorder="1"/>
    <xf numFmtId="9" fontId="0" fillId="0" borderId="17" xfId="0" applyNumberFormat="1" applyBorder="1"/>
    <xf numFmtId="0" fontId="0" fillId="0" borderId="15" xfId="0" applyBorder="1"/>
    <xf numFmtId="0" fontId="0" fillId="0" borderId="16" xfId="0" applyBorder="1"/>
    <xf numFmtId="10" fontId="0" fillId="0" borderId="14" xfId="0" applyNumberFormat="1" applyBorder="1"/>
    <xf numFmtId="165" fontId="0" fillId="0" borderId="0" xfId="0" applyNumberFormat="1"/>
    <xf numFmtId="165" fontId="0" fillId="0" borderId="16" xfId="0" applyNumberFormat="1" applyBorder="1"/>
    <xf numFmtId="0" fontId="17" fillId="0" borderId="0" xfId="0" applyFont="1" applyAlignment="1">
      <alignment horizontal="center"/>
    </xf>
    <xf numFmtId="43" fontId="11" fillId="0" borderId="0" xfId="1" applyFont="1" applyFill="1" applyBorder="1"/>
    <xf numFmtId="10" fontId="11" fillId="0" borderId="0" xfId="2" applyNumberFormat="1" applyFont="1" applyFill="1" applyBorder="1"/>
    <xf numFmtId="10" fontId="11" fillId="0" borderId="0" xfId="2" applyNumberFormat="1" applyFont="1" applyFill="1"/>
    <xf numFmtId="10" fontId="11" fillId="0" borderId="0" xfId="2" applyNumberFormat="1" applyFont="1"/>
    <xf numFmtId="0" fontId="18" fillId="0" borderId="0" xfId="0" applyFont="1"/>
    <xf numFmtId="165" fontId="11" fillId="0" borderId="0" xfId="2" applyNumberFormat="1" applyFont="1" applyFill="1"/>
    <xf numFmtId="9" fontId="11" fillId="0" borderId="0" xfId="2" applyFont="1" applyFill="1"/>
    <xf numFmtId="43" fontId="11" fillId="0" borderId="0" xfId="1" applyFont="1" applyFill="1"/>
    <xf numFmtId="10" fontId="11" fillId="0" borderId="0" xfId="0" applyNumberFormat="1" applyFont="1"/>
    <xf numFmtId="43" fontId="11" fillId="0" borderId="0" xfId="1" applyFont="1"/>
    <xf numFmtId="9" fontId="11" fillId="0" borderId="0" xfId="0" applyNumberFormat="1" applyFont="1"/>
    <xf numFmtId="9" fontId="0" fillId="5" borderId="0" xfId="0" applyNumberFormat="1" applyFill="1"/>
    <xf numFmtId="43" fontId="0" fillId="5" borderId="0" xfId="1" applyFont="1" applyFill="1"/>
    <xf numFmtId="43" fontId="0" fillId="0" borderId="0" xfId="1" applyFont="1" applyAlignment="1">
      <alignment horizontal="center"/>
    </xf>
    <xf numFmtId="0" fontId="0" fillId="0" borderId="0" xfId="0" applyAlignment="1">
      <alignment vertical="center"/>
    </xf>
    <xf numFmtId="0" fontId="16" fillId="0" borderId="0" xfId="0" applyFont="1"/>
    <xf numFmtId="0" fontId="17" fillId="0" borderId="0" xfId="0" applyFont="1"/>
    <xf numFmtId="43" fontId="14" fillId="0" borderId="0" xfId="1" applyFont="1"/>
    <xf numFmtId="0" fontId="0" fillId="5" borderId="0" xfId="0" applyFill="1" applyAlignment="1">
      <alignment horizontal="left"/>
    </xf>
    <xf numFmtId="43" fontId="0" fillId="10" borderId="0" xfId="1" applyFont="1" applyFill="1" applyBorder="1"/>
    <xf numFmtId="43" fontId="0" fillId="10" borderId="0" xfId="1" applyFont="1" applyFill="1"/>
    <xf numFmtId="0" fontId="5" fillId="0" borderId="16" xfId="0" applyFont="1" applyBorder="1"/>
    <xf numFmtId="10" fontId="0" fillId="0" borderId="16" xfId="0" applyNumberFormat="1" applyBorder="1"/>
    <xf numFmtId="10" fontId="0" fillId="0" borderId="1" xfId="0" applyNumberFormat="1" applyBorder="1" applyAlignment="1">
      <alignment horizontal="center"/>
    </xf>
    <xf numFmtId="0" fontId="0" fillId="6" borderId="1" xfId="0" applyFill="1" applyBorder="1" applyAlignment="1">
      <alignment horizontal="center"/>
    </xf>
    <xf numFmtId="9" fontId="0" fillId="6" borderId="1" xfId="0" applyNumberFormat="1" applyFill="1" applyBorder="1" applyAlignment="1">
      <alignment horizontal="center"/>
    </xf>
    <xf numFmtId="9" fontId="0" fillId="5" borderId="0" xfId="0" applyNumberFormat="1" applyFill="1" applyAlignment="1">
      <alignment horizontal="right"/>
    </xf>
    <xf numFmtId="0" fontId="16" fillId="8" borderId="0" xfId="0" applyFont="1" applyFill="1" applyAlignment="1">
      <alignment horizontal="center"/>
    </xf>
    <xf numFmtId="0" fontId="17" fillId="0" borderId="0" xfId="0" applyFont="1" applyAlignment="1">
      <alignment horizontal="center"/>
    </xf>
    <xf numFmtId="0" fontId="11" fillId="0" borderId="0" xfId="0" applyFont="1" applyAlignment="1">
      <alignment horizontal="left"/>
    </xf>
    <xf numFmtId="0" fontId="18" fillId="0" borderId="0" xfId="0" applyFont="1" applyAlignment="1">
      <alignment horizontal="left"/>
    </xf>
    <xf numFmtId="0" fontId="11" fillId="0" borderId="0" xfId="0" quotePrefix="1" applyFont="1" applyAlignment="1">
      <alignment horizontal="left"/>
    </xf>
    <xf numFmtId="0" fontId="3" fillId="0" borderId="13" xfId="0" applyFont="1" applyBorder="1" applyAlignment="1">
      <alignment horizontal="center" vertical="center"/>
    </xf>
    <xf numFmtId="0" fontId="3" fillId="0" borderId="15" xfId="0" applyFont="1" applyBorder="1" applyAlignment="1">
      <alignment horizontal="center" vertical="center"/>
    </xf>
    <xf numFmtId="0" fontId="3" fillId="2" borderId="18" xfId="0" applyFont="1" applyFill="1" applyBorder="1" applyAlignment="1">
      <alignment horizontal="center"/>
    </xf>
    <xf numFmtId="0" fontId="3" fillId="2" borderId="19" xfId="0" applyFont="1" applyFill="1" applyBorder="1" applyAlignment="1">
      <alignment horizontal="center"/>
    </xf>
    <xf numFmtId="0" fontId="3" fillId="2" borderId="20" xfId="0" applyFont="1" applyFill="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3" fillId="2" borderId="8" xfId="0" applyFont="1" applyFill="1" applyBorder="1" applyAlignment="1">
      <alignment horizontal="center"/>
    </xf>
    <xf numFmtId="0" fontId="3" fillId="2" borderId="9" xfId="0" applyFont="1" applyFill="1" applyBorder="1" applyAlignment="1">
      <alignment horizontal="center"/>
    </xf>
    <xf numFmtId="0" fontId="3" fillId="2" borderId="10" xfId="0" applyFont="1" applyFill="1" applyBorder="1" applyAlignment="1">
      <alignment horizontal="center"/>
    </xf>
    <xf numFmtId="0" fontId="3" fillId="2" borderId="12" xfId="0" applyFont="1" applyFill="1" applyBorder="1" applyAlignment="1">
      <alignment horizontal="center"/>
    </xf>
    <xf numFmtId="0" fontId="3" fillId="2" borderId="23" xfId="0" applyFont="1" applyFill="1" applyBorder="1" applyAlignment="1">
      <alignment horizontal="center"/>
    </xf>
    <xf numFmtId="0" fontId="3" fillId="2" borderId="24" xfId="0" applyFont="1" applyFill="1" applyBorder="1" applyAlignment="1">
      <alignment horizontal="center"/>
    </xf>
    <xf numFmtId="0" fontId="3" fillId="2" borderId="25" xfId="0" applyFont="1" applyFill="1" applyBorder="1" applyAlignment="1">
      <alignment horizontal="center"/>
    </xf>
    <xf numFmtId="0" fontId="11" fillId="2" borderId="18" xfId="0" applyFont="1" applyFill="1" applyBorder="1" applyAlignment="1">
      <alignment horizontal="center"/>
    </xf>
    <xf numFmtId="0" fontId="11" fillId="2" borderId="20" xfId="0" applyFont="1" applyFill="1" applyBorder="1" applyAlignment="1">
      <alignment horizontal="center"/>
    </xf>
    <xf numFmtId="0" fontId="11" fillId="0" borderId="0" xfId="0" applyFont="1" applyAlignment="1">
      <alignment horizontal="center"/>
    </xf>
    <xf numFmtId="0" fontId="3" fillId="0" borderId="0" xfId="0" applyFont="1" applyAlignment="1">
      <alignment horizontal="center"/>
    </xf>
    <xf numFmtId="0" fontId="3" fillId="0" borderId="0" xfId="0" applyFont="1" applyAlignment="1">
      <alignment horizontal="center" vertical="center"/>
    </xf>
    <xf numFmtId="0" fontId="2" fillId="9" borderId="0" xfId="0" applyFont="1" applyFill="1" applyAlignment="1">
      <alignment horizontal="center"/>
    </xf>
    <xf numFmtId="43" fontId="2" fillId="9" borderId="0" xfId="1" applyFont="1" applyFill="1" applyAlignment="1">
      <alignment horizontal="center"/>
    </xf>
  </cellXfs>
  <cellStyles count="4">
    <cellStyle name="Lien hypertexte" xfId="3" builtinId="8"/>
    <cellStyle name="Milliers" xfId="1" builtinId="3"/>
    <cellStyle name="Normal" xfId="0" builtinId="0"/>
    <cellStyle name="Pourcentage" xfId="2" builtinId="5"/>
  </cellStyles>
  <dxfs count="129">
    <dxf>
      <numFmt numFmtId="35" formatCode="_(* #,##0.00_);_(* \(#,##0.00\);_(* &quot;-&quot;??_);_(@_)"/>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numFmt numFmtId="3" formatCode="#,##0"/>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dxf>
    <dxf>
      <font>
        <b val="0"/>
        <i val="0"/>
        <strike val="0"/>
        <condense val="0"/>
        <extend val="0"/>
        <outline val="0"/>
        <shadow val="0"/>
        <u val="none"/>
        <vertAlign val="baseline"/>
        <sz val="11"/>
        <color rgb="FF232A31"/>
        <name val="Aptos Display"/>
        <family val="2"/>
        <scheme val="major"/>
      </font>
      <numFmt numFmtId="3" formatCode="#,##0"/>
    </dxf>
    <dxf>
      <font>
        <b val="0"/>
        <i val="0"/>
        <strike val="0"/>
        <condense val="0"/>
        <extend val="0"/>
        <outline val="0"/>
        <shadow val="0"/>
        <u val="none"/>
        <vertAlign val="baseline"/>
        <sz val="11"/>
        <color rgb="FF232A31"/>
        <name val="Aptos Display"/>
        <family val="2"/>
        <scheme val="major"/>
      </font>
      <numFmt numFmtId="3" formatCode="#,##0"/>
    </dxf>
    <dxf>
      <font>
        <b val="0"/>
        <strike val="0"/>
        <outline val="0"/>
        <shadow val="0"/>
        <u val="none"/>
        <vertAlign val="baseline"/>
        <sz val="11"/>
        <name val="Aptos Display"/>
        <family val="2"/>
        <scheme val="major"/>
      </font>
    </dxf>
    <dxf>
      <font>
        <b val="0"/>
        <strike val="0"/>
        <outline val="0"/>
        <shadow val="0"/>
        <u val="none"/>
        <vertAlign val="baseline"/>
        <sz val="11"/>
        <color rgb="FF0F1115"/>
        <name val="Aptos Display"/>
        <family val="2"/>
        <scheme val="major"/>
      </font>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dxf>
    <dxf>
      <font>
        <b val="0"/>
        <strike val="0"/>
        <outline val="0"/>
        <shadow val="0"/>
        <u val="none"/>
        <vertAlign val="baseline"/>
        <sz val="11"/>
        <name val="Aptos Display"/>
        <family val="2"/>
        <scheme val="major"/>
      </font>
    </dxf>
    <dxf>
      <font>
        <strike val="0"/>
        <outline val="0"/>
        <shadow val="0"/>
        <u val="none"/>
        <vertAlign val="baseline"/>
        <sz val="11"/>
        <color auto="1"/>
        <name val="Aptos Narrow"/>
        <family val="2"/>
        <scheme val="minor"/>
      </font>
      <numFmt numFmtId="167" formatCode="_(* #,##0.000_);_(* \(#,##0.000\);_(* &quot;-&quot;??_);_(@_)"/>
      <fill>
        <patternFill patternType="none">
          <bgColor auto="1"/>
        </patternFill>
      </fill>
    </dxf>
    <dxf>
      <font>
        <strike val="0"/>
        <outline val="0"/>
        <shadow val="0"/>
        <u val="none"/>
        <vertAlign val="baseline"/>
        <sz val="11"/>
        <color auto="1"/>
        <name val="Aptos Narrow"/>
        <family val="2"/>
        <scheme val="minor"/>
      </font>
      <numFmt numFmtId="167" formatCode="_(* #,##0.000_);_(* \(#,##0.000\);_(* &quot;-&quot;??_);_(@_)"/>
      <fill>
        <patternFill patternType="none">
          <bgColor auto="1"/>
        </patternFill>
      </fill>
    </dxf>
    <dxf>
      <font>
        <strike val="0"/>
        <outline val="0"/>
        <shadow val="0"/>
        <u val="none"/>
        <vertAlign val="baseline"/>
        <sz val="11"/>
        <color auto="1"/>
        <name val="Aptos Narrow"/>
        <family val="2"/>
        <scheme val="minor"/>
      </font>
      <numFmt numFmtId="167" formatCode="_(* #,##0.000_);_(* \(#,##0.000\);_(* &quot;-&quot;??_);_(@_)"/>
      <fill>
        <patternFill patternType="none">
          <bgColor auto="1"/>
        </patternFill>
      </fill>
    </dxf>
    <dxf>
      <font>
        <strike val="0"/>
        <outline val="0"/>
        <shadow val="0"/>
        <u val="none"/>
        <vertAlign val="baseline"/>
        <sz val="11"/>
        <color auto="1"/>
        <name val="Aptos Narrow"/>
        <family val="2"/>
        <scheme val="minor"/>
      </font>
      <numFmt numFmtId="167" formatCode="_(* #,##0.000_);_(* \(#,##0.000\);_(* &quot;-&quot;??_);_(@_)"/>
      <fill>
        <patternFill patternType="none">
          <bgColor auto="1"/>
        </patternFill>
      </fill>
    </dxf>
    <dxf>
      <font>
        <strike val="0"/>
        <outline val="0"/>
        <shadow val="0"/>
        <u val="none"/>
        <vertAlign val="baseline"/>
        <sz val="11"/>
        <color auto="1"/>
        <name val="Aptos Narrow"/>
        <family val="2"/>
        <scheme val="minor"/>
      </font>
      <numFmt numFmtId="167" formatCode="_(* #,##0.000_);_(* \(#,##0.000\);_(* &quot;-&quot;??_);_(@_)"/>
      <fill>
        <patternFill patternType="none">
          <bgColor auto="1"/>
        </patternFill>
      </fill>
    </dxf>
    <dxf>
      <font>
        <strike val="0"/>
        <outline val="0"/>
        <shadow val="0"/>
        <u val="none"/>
        <vertAlign val="baseline"/>
        <sz val="11"/>
        <color auto="1"/>
        <name val="Aptos Narrow"/>
        <family val="2"/>
        <scheme val="minor"/>
      </font>
      <numFmt numFmtId="167" formatCode="_(* #,##0.000_);_(* \(#,##0.000\);_(* &quot;-&quot;??_);_(@_)"/>
      <fill>
        <patternFill patternType="none">
          <bgColor auto="1"/>
        </patternFill>
      </fill>
    </dxf>
    <dxf>
      <font>
        <strike val="0"/>
        <outline val="0"/>
        <shadow val="0"/>
        <u val="none"/>
        <vertAlign val="baseline"/>
        <sz val="11"/>
        <color auto="1"/>
        <name val="Aptos Narrow"/>
        <family val="2"/>
        <scheme val="minor"/>
      </font>
      <fill>
        <patternFill patternType="none">
          <bgColor auto="1"/>
        </patternFill>
      </fill>
    </dxf>
    <dxf>
      <font>
        <strike val="0"/>
        <outline val="0"/>
        <shadow val="0"/>
        <u val="none"/>
        <vertAlign val="baseline"/>
        <sz val="11"/>
        <color auto="1"/>
        <name val="Aptos Narrow"/>
        <family val="2"/>
        <scheme val="minor"/>
      </font>
      <fill>
        <patternFill patternType="none">
          <bgColor auto="1"/>
        </patternFill>
      </fill>
    </dxf>
    <dxf>
      <font>
        <b/>
        <i val="0"/>
        <strike val="0"/>
        <condense val="0"/>
        <extend val="0"/>
        <outline val="0"/>
        <shadow val="0"/>
        <u val="none"/>
        <vertAlign val="baseline"/>
        <sz val="11"/>
        <color auto="1"/>
        <name val="Aptos Narrow"/>
        <family val="2"/>
        <scheme val="minor"/>
      </font>
      <fill>
        <patternFill patternType="none">
          <fgColor theme="5"/>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Display"/>
        <family val="2"/>
        <scheme val="major"/>
      </font>
      <numFmt numFmtId="14" formatCode="0.00%"/>
      <fill>
        <patternFill patternType="none">
          <fgColor indexed="64"/>
          <bgColor indexed="65"/>
        </patternFill>
      </fill>
    </dxf>
    <dxf>
      <font>
        <b val="0"/>
        <i val="0"/>
        <strike val="0"/>
        <condense val="0"/>
        <extend val="0"/>
        <outline val="0"/>
        <shadow val="0"/>
        <u val="none"/>
        <vertAlign val="baseline"/>
        <sz val="11"/>
        <color theme="1"/>
        <name val="Aptos Display"/>
        <family val="2"/>
        <scheme val="major"/>
      </font>
      <numFmt numFmtId="14" formatCode="0.00%"/>
      <fill>
        <patternFill patternType="none">
          <fgColor indexed="64"/>
          <bgColor indexed="65"/>
        </patternFill>
      </fill>
    </dxf>
    <dxf>
      <font>
        <b val="0"/>
        <i val="0"/>
        <strike val="0"/>
        <condense val="0"/>
        <extend val="0"/>
        <outline val="0"/>
        <shadow val="0"/>
        <u val="none"/>
        <vertAlign val="baseline"/>
        <sz val="11"/>
        <color theme="1"/>
        <name val="Aptos Display"/>
        <family val="2"/>
        <scheme val="major"/>
      </font>
      <numFmt numFmtId="14" formatCode="0.00%"/>
      <fill>
        <patternFill patternType="none">
          <fgColor indexed="64"/>
          <bgColor indexed="65"/>
        </patternFill>
      </fill>
    </dxf>
    <dxf>
      <font>
        <b val="0"/>
        <i val="0"/>
        <strike val="0"/>
        <condense val="0"/>
        <extend val="0"/>
        <outline val="0"/>
        <shadow val="0"/>
        <u val="none"/>
        <vertAlign val="baseline"/>
        <sz val="11"/>
        <color theme="1"/>
        <name val="Aptos Display"/>
        <family val="2"/>
        <scheme val="major"/>
      </font>
      <numFmt numFmtId="14" formatCode="0.00%"/>
      <fill>
        <patternFill patternType="none">
          <fgColor indexed="64"/>
          <bgColor indexed="65"/>
        </patternFill>
      </fill>
    </dxf>
    <dxf>
      <font>
        <strike val="0"/>
        <outline val="0"/>
        <shadow val="0"/>
        <u val="none"/>
        <vertAlign val="baseline"/>
        <sz val="11"/>
        <name val="Aptos Display"/>
        <family val="2"/>
        <scheme val="major"/>
      </font>
      <fill>
        <patternFill patternType="none">
          <fgColor indexed="64"/>
          <bgColor indexed="65"/>
        </patternFill>
      </fill>
    </dxf>
    <dxf>
      <font>
        <b val="0"/>
        <i val="0"/>
        <strike val="0"/>
        <condense val="0"/>
        <extend val="0"/>
        <outline val="0"/>
        <shadow val="0"/>
        <u val="none"/>
        <vertAlign val="baseline"/>
        <sz val="11"/>
        <color theme="1"/>
        <name val="Aptos Display"/>
        <family val="2"/>
        <scheme val="major"/>
      </font>
      <fill>
        <patternFill patternType="none">
          <fgColor indexed="64"/>
          <bgColor indexed="65"/>
        </patternFill>
      </fill>
    </dxf>
    <dxf>
      <font>
        <b/>
        <i val="0"/>
        <strike val="0"/>
        <condense val="0"/>
        <extend val="0"/>
        <outline val="0"/>
        <shadow val="0"/>
        <u val="none"/>
        <vertAlign val="baseline"/>
        <sz val="11"/>
        <color theme="1"/>
        <name val="Aptos Display"/>
        <family val="2"/>
        <scheme val="major"/>
      </font>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1"/>
        <name val="Aptos Display"/>
        <family val="2"/>
        <scheme val="major"/>
      </font>
      <fill>
        <patternFill patternType="none">
          <fgColor indexed="64"/>
          <bgColor indexed="65"/>
        </patternFill>
      </fill>
    </dxf>
    <dxf>
      <font>
        <strike val="0"/>
        <outline val="0"/>
        <shadow val="0"/>
        <u val="none"/>
        <vertAlign val="baseline"/>
        <sz val="11"/>
        <name val="Aptos Display"/>
        <family val="2"/>
        <scheme val="major"/>
      </font>
      <fill>
        <patternFill patternType="none">
          <fgColor indexed="64"/>
          <bgColor indexed="65"/>
        </patternFill>
      </fill>
    </dxf>
    <dxf>
      <font>
        <strike val="0"/>
        <outline val="0"/>
        <shadow val="0"/>
        <u val="none"/>
        <vertAlign val="baseline"/>
        <sz val="11"/>
        <name val="Aptos Display"/>
        <family val="2"/>
        <scheme val="major"/>
      </font>
      <fill>
        <patternFill patternType="none">
          <fgColor indexed="64"/>
          <bgColor indexed="65"/>
        </patternFill>
      </fill>
    </dxf>
    <dxf>
      <font>
        <strike val="0"/>
        <outline val="0"/>
        <shadow val="0"/>
        <u val="none"/>
        <vertAlign val="baseline"/>
        <sz val="11"/>
        <name val="Aptos Display"/>
        <family val="2"/>
        <scheme val="major"/>
      </font>
      <fill>
        <patternFill patternType="none">
          <fgColor indexed="64"/>
          <bgColor indexed="65"/>
        </patternFill>
      </fill>
    </dxf>
    <dxf>
      <font>
        <strike val="0"/>
        <outline val="0"/>
        <shadow val="0"/>
        <u val="none"/>
        <vertAlign val="baseline"/>
        <sz val="11"/>
        <name val="Aptos Display"/>
        <family val="2"/>
        <scheme val="major"/>
      </font>
      <fill>
        <patternFill patternType="none">
          <fgColor indexed="64"/>
          <bgColor indexed="65"/>
        </patternFill>
      </fill>
    </dxf>
    <dxf>
      <font>
        <strike val="0"/>
        <outline val="0"/>
        <shadow val="0"/>
        <u val="none"/>
        <vertAlign val="baseline"/>
        <sz val="11"/>
        <name val="Aptos Display"/>
        <family val="2"/>
        <scheme val="major"/>
      </font>
      <fill>
        <patternFill patternType="none">
          <fgColor indexed="64"/>
          <bgColor indexed="65"/>
        </patternFill>
      </fill>
    </dxf>
    <dxf>
      <font>
        <b/>
        <i val="0"/>
        <strike val="0"/>
        <condense val="0"/>
        <extend val="0"/>
        <outline val="0"/>
        <shadow val="0"/>
        <u val="none"/>
        <vertAlign val="baseline"/>
        <sz val="11"/>
        <color theme="1"/>
        <name val="Aptos Display"/>
        <family val="2"/>
        <scheme val="major"/>
      </font>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1"/>
        <name val="Aptos Display"/>
        <family val="2"/>
        <scheme val="major"/>
      </font>
      <fill>
        <patternFill patternType="none">
          <fgColor indexed="64"/>
          <bgColor indexed="65"/>
        </patternFill>
      </fill>
    </dxf>
    <dxf>
      <font>
        <strike val="0"/>
        <outline val="0"/>
        <shadow val="0"/>
        <u val="none"/>
        <vertAlign val="baseline"/>
        <sz val="11"/>
        <name val="Aptos Display"/>
        <family val="2"/>
        <scheme val="major"/>
      </font>
      <fill>
        <patternFill patternType="none">
          <fgColor indexed="64"/>
          <bgColor indexed="65"/>
        </patternFill>
      </fill>
    </dxf>
    <dxf>
      <font>
        <strike val="0"/>
        <outline val="0"/>
        <shadow val="0"/>
        <u val="none"/>
        <vertAlign val="baseline"/>
        <sz val="11"/>
        <name val="Aptos Display"/>
        <family val="2"/>
        <scheme val="major"/>
      </font>
      <fill>
        <patternFill patternType="none">
          <fgColor indexed="64"/>
          <bgColor indexed="65"/>
        </patternFill>
      </fill>
    </dxf>
    <dxf>
      <font>
        <strike val="0"/>
        <outline val="0"/>
        <shadow val="0"/>
        <u val="none"/>
        <vertAlign val="baseline"/>
        <sz val="11"/>
        <name val="Aptos Display"/>
        <family val="2"/>
        <scheme val="major"/>
      </font>
      <fill>
        <patternFill patternType="none">
          <fgColor indexed="64"/>
          <bgColor indexed="65"/>
        </patternFill>
      </fill>
    </dxf>
    <dxf>
      <font>
        <strike val="0"/>
        <outline val="0"/>
        <shadow val="0"/>
        <u val="none"/>
        <vertAlign val="baseline"/>
        <sz val="11"/>
        <name val="Aptos Display"/>
        <family val="2"/>
        <scheme val="major"/>
      </font>
      <fill>
        <patternFill patternType="none">
          <fgColor indexed="64"/>
          <bgColor indexed="65"/>
        </patternFill>
      </fill>
    </dxf>
    <dxf>
      <font>
        <strike val="0"/>
        <outline val="0"/>
        <shadow val="0"/>
        <u val="none"/>
        <vertAlign val="baseline"/>
        <sz val="11"/>
        <name val="Aptos Display"/>
        <family val="2"/>
        <scheme val="major"/>
      </font>
      <fill>
        <patternFill patternType="none">
          <fgColor indexed="64"/>
          <bgColor indexed="65"/>
        </patternFill>
      </fill>
    </dxf>
    <dxf>
      <font>
        <strike val="0"/>
        <outline val="0"/>
        <shadow val="0"/>
        <u val="none"/>
        <vertAlign val="baseline"/>
        <sz val="11"/>
        <name val="Aptos Display"/>
        <family val="2"/>
        <scheme val="major"/>
      </font>
      <fill>
        <patternFill patternType="none">
          <fgColor indexed="64"/>
          <bgColor indexed="65"/>
        </patternFill>
      </fill>
    </dxf>
    <dxf>
      <font>
        <b/>
        <i val="0"/>
        <strike val="0"/>
        <condense val="0"/>
        <extend val="0"/>
        <outline val="0"/>
        <shadow val="0"/>
        <u val="none"/>
        <vertAlign val="baseline"/>
        <sz val="11"/>
        <color theme="1"/>
        <name val="Aptos Display"/>
        <family val="2"/>
        <scheme val="maj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Display"/>
        <family val="2"/>
        <scheme val="major"/>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numFmt numFmtId="165" formatCode="0.000%"/>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numFmt numFmtId="165" formatCode="0.000%"/>
      <fill>
        <patternFill patternType="none">
          <fgColor indexed="64"/>
          <bgColor auto="1"/>
        </patternFill>
      </fill>
    </dxf>
    <dxf>
      <font>
        <strike val="0"/>
        <outline val="0"/>
        <shadow val="0"/>
        <u val="none"/>
        <vertAlign val="baseline"/>
        <sz val="11"/>
        <name val="Aptos Display"/>
        <family val="2"/>
        <scheme val="major"/>
      </font>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fill>
        <patternFill patternType="none">
          <fgColor indexed="64"/>
          <bgColor auto="1"/>
        </patternFill>
      </fill>
    </dxf>
    <dxf>
      <font>
        <b/>
        <i val="0"/>
        <strike val="0"/>
        <condense val="0"/>
        <extend val="0"/>
        <outline val="0"/>
        <shadow val="0"/>
        <u val="none"/>
        <vertAlign val="baseline"/>
        <sz val="11"/>
        <color theme="1"/>
        <name val="Aptos Display"/>
        <family val="2"/>
        <scheme val="maj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Display"/>
        <family val="2"/>
        <scheme val="major"/>
      </font>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fill>
        <patternFill patternType="none">
          <fgColor indexed="64"/>
          <bgColor auto="1"/>
        </patternFill>
      </fill>
    </dxf>
    <dxf>
      <font>
        <strike val="0"/>
        <outline val="0"/>
        <shadow val="0"/>
        <u val="none"/>
        <vertAlign val="baseline"/>
        <sz val="11"/>
        <name val="Aptos Display"/>
        <family val="2"/>
        <scheme val="major"/>
      </font>
      <fill>
        <patternFill patternType="none">
          <fgColor indexed="64"/>
          <bgColor auto="1"/>
        </patternFill>
      </fill>
    </dxf>
    <dxf>
      <font>
        <b val="0"/>
        <i val="0"/>
        <strike val="0"/>
        <condense val="0"/>
        <extend val="0"/>
        <outline val="0"/>
        <shadow val="0"/>
        <u val="none"/>
        <vertAlign val="baseline"/>
        <sz val="11"/>
        <color theme="1"/>
        <name val="Aptos Display"/>
        <family val="2"/>
        <scheme val="major"/>
      </font>
      <fill>
        <patternFill patternType="none">
          <fgColor indexed="64"/>
          <bgColor auto="1"/>
        </patternFill>
      </fill>
    </dxf>
    <dxf>
      <font>
        <b/>
        <i val="0"/>
        <strike val="0"/>
        <condense val="0"/>
        <extend val="0"/>
        <outline val="0"/>
        <shadow val="0"/>
        <u val="none"/>
        <vertAlign val="baseline"/>
        <sz val="11"/>
        <color theme="1"/>
        <name val="Aptos Display"/>
        <family val="2"/>
        <scheme val="maj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Display"/>
        <family val="2"/>
        <scheme val="major"/>
      </font>
    </dxf>
    <dxf>
      <font>
        <b val="0"/>
        <i val="0"/>
        <strike val="0"/>
        <condense val="0"/>
        <extend val="0"/>
        <outline val="0"/>
        <shadow val="0"/>
        <u val="none"/>
        <vertAlign val="baseline"/>
        <sz val="11"/>
        <color theme="1"/>
        <name val="Aptos Display"/>
        <family val="2"/>
        <scheme val="major"/>
      </font>
    </dxf>
    <dxf>
      <font>
        <b/>
        <i val="0"/>
        <strike val="0"/>
        <condense val="0"/>
        <extend val="0"/>
        <outline val="0"/>
        <shadow val="0"/>
        <u val="none"/>
        <vertAlign val="baseline"/>
        <sz val="11"/>
        <color theme="1"/>
        <name val="Aptos Display"/>
        <family val="2"/>
        <scheme val="major"/>
      </font>
    </dxf>
    <dxf>
      <font>
        <b val="0"/>
        <i val="0"/>
        <strike val="0"/>
        <condense val="0"/>
        <extend val="0"/>
        <outline val="0"/>
        <shadow val="0"/>
        <u val="none"/>
        <vertAlign val="baseline"/>
        <sz val="11"/>
        <color theme="1"/>
        <name val="Aptos Display"/>
        <family val="2"/>
        <scheme val="major"/>
      </font>
    </dxf>
    <dxf>
      <font>
        <b val="0"/>
        <i val="0"/>
        <strike val="0"/>
        <condense val="0"/>
        <extend val="0"/>
        <outline val="0"/>
        <shadow val="0"/>
        <u val="none"/>
        <vertAlign val="baseline"/>
        <sz val="11"/>
        <color theme="1"/>
        <name val="Aptos Display"/>
        <family val="2"/>
        <scheme val="major"/>
      </font>
    </dxf>
    <dxf>
      <font>
        <b val="0"/>
        <i val="0"/>
        <strike val="0"/>
        <condense val="0"/>
        <extend val="0"/>
        <outline val="0"/>
        <shadow val="0"/>
        <u val="none"/>
        <vertAlign val="baseline"/>
        <sz val="11"/>
        <color theme="1"/>
        <name val="Aptos Display"/>
        <family val="2"/>
        <scheme val="major"/>
      </font>
    </dxf>
    <dxf>
      <font>
        <b val="0"/>
        <i val="0"/>
        <strike val="0"/>
        <condense val="0"/>
        <extend val="0"/>
        <outline val="0"/>
        <shadow val="0"/>
        <u val="none"/>
        <vertAlign val="baseline"/>
        <sz val="11"/>
        <color theme="1"/>
        <name val="Aptos Display"/>
        <family val="2"/>
        <scheme val="major"/>
      </font>
    </dxf>
    <dxf>
      <font>
        <b val="0"/>
        <i val="0"/>
        <strike val="0"/>
        <condense val="0"/>
        <extend val="0"/>
        <outline val="0"/>
        <shadow val="0"/>
        <u val="none"/>
        <vertAlign val="baseline"/>
        <sz val="11"/>
        <color theme="1"/>
        <name val="Aptos Display"/>
        <family val="2"/>
        <scheme val="major"/>
      </font>
    </dxf>
    <dxf>
      <font>
        <b val="0"/>
        <i val="0"/>
        <strike val="0"/>
        <condense val="0"/>
        <extend val="0"/>
        <outline val="0"/>
        <shadow val="0"/>
        <u val="none"/>
        <vertAlign val="baseline"/>
        <sz val="11"/>
        <color theme="1"/>
        <name val="Aptos Display"/>
        <family val="2"/>
        <scheme val="major"/>
      </font>
    </dxf>
    <dxf>
      <font>
        <b val="0"/>
        <i val="0"/>
        <strike val="0"/>
        <condense val="0"/>
        <extend val="0"/>
        <outline val="0"/>
        <shadow val="0"/>
        <u val="none"/>
        <vertAlign val="baseline"/>
        <sz val="11"/>
        <color theme="1"/>
        <name val="Aptos Display"/>
        <family val="2"/>
        <scheme val="major"/>
      </font>
    </dxf>
    <dxf>
      <font>
        <b val="0"/>
        <i val="0"/>
        <strike val="0"/>
        <condense val="0"/>
        <extend val="0"/>
        <outline val="0"/>
        <shadow val="0"/>
        <u val="none"/>
        <vertAlign val="baseline"/>
        <sz val="11"/>
        <color theme="1"/>
        <name val="Aptos Display"/>
        <family val="2"/>
        <scheme val="major"/>
      </font>
    </dxf>
    <dxf>
      <font>
        <b val="0"/>
        <i val="0"/>
        <strike val="0"/>
        <condense val="0"/>
        <extend val="0"/>
        <outline val="0"/>
        <shadow val="0"/>
        <u val="none"/>
        <vertAlign val="baseline"/>
        <sz val="11"/>
        <color theme="1"/>
        <name val="Aptos Display"/>
        <family val="2"/>
        <scheme val="major"/>
      </font>
    </dxf>
    <dxf>
      <font>
        <b/>
        <i val="0"/>
        <strike val="0"/>
        <condense val="0"/>
        <extend val="0"/>
        <outline val="0"/>
        <shadow val="0"/>
        <u val="none"/>
        <vertAlign val="baseline"/>
        <sz val="11"/>
        <color theme="1"/>
        <name val="Aptos Display"/>
        <family val="2"/>
        <scheme val="maj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Display"/>
        <family val="2"/>
        <scheme val="major"/>
      </font>
      <fill>
        <patternFill patternType="none">
          <fgColor indexed="64"/>
          <bgColor indexed="65"/>
        </patternFill>
      </fill>
    </dxf>
    <dxf>
      <font>
        <b val="0"/>
        <i val="0"/>
        <strike val="0"/>
        <condense val="0"/>
        <extend val="0"/>
        <outline val="0"/>
        <shadow val="0"/>
        <u val="none"/>
        <vertAlign val="baseline"/>
        <sz val="11"/>
        <color theme="1"/>
        <name val="Aptos Display"/>
        <family val="2"/>
        <scheme val="major"/>
      </font>
      <fill>
        <patternFill patternType="none">
          <fgColor indexed="64"/>
          <bgColor indexed="65"/>
        </patternFill>
      </fill>
    </dxf>
    <dxf>
      <font>
        <b val="0"/>
        <i val="0"/>
        <strike val="0"/>
        <condense val="0"/>
        <extend val="0"/>
        <outline val="0"/>
        <shadow val="0"/>
        <u val="none"/>
        <vertAlign val="baseline"/>
        <sz val="11"/>
        <color theme="1"/>
        <name val="Aptos Display"/>
        <family val="2"/>
        <scheme val="major"/>
      </font>
      <fill>
        <patternFill patternType="none">
          <fgColor indexed="64"/>
          <bgColor indexed="65"/>
        </patternFill>
      </fill>
    </dxf>
    <dxf>
      <font>
        <b val="0"/>
        <i val="0"/>
        <strike val="0"/>
        <condense val="0"/>
        <extend val="0"/>
        <outline val="0"/>
        <shadow val="0"/>
        <u val="none"/>
        <vertAlign val="baseline"/>
        <sz val="11"/>
        <color theme="1"/>
        <name val="Aptos Display"/>
        <family val="2"/>
        <scheme val="major"/>
      </font>
      <fill>
        <patternFill patternType="none">
          <fgColor indexed="64"/>
          <bgColor indexed="65"/>
        </patternFill>
      </fill>
    </dxf>
    <dxf>
      <font>
        <b val="0"/>
        <i val="0"/>
        <strike val="0"/>
        <condense val="0"/>
        <extend val="0"/>
        <outline val="0"/>
        <shadow val="0"/>
        <u val="none"/>
        <vertAlign val="baseline"/>
        <sz val="11"/>
        <color theme="1"/>
        <name val="Aptos Display"/>
        <family val="2"/>
        <scheme val="major"/>
      </font>
      <fill>
        <patternFill patternType="none">
          <fgColor indexed="64"/>
          <bgColor indexed="65"/>
        </patternFill>
      </fill>
    </dxf>
    <dxf>
      <font>
        <b val="0"/>
        <i val="0"/>
        <strike val="0"/>
        <condense val="0"/>
        <extend val="0"/>
        <outline val="0"/>
        <shadow val="0"/>
        <u val="none"/>
        <vertAlign val="baseline"/>
        <sz val="11"/>
        <color theme="1"/>
        <name val="Aptos Display"/>
        <family val="2"/>
        <scheme val="major"/>
      </font>
      <fill>
        <patternFill patternType="none">
          <fgColor indexed="64"/>
          <bgColor indexed="65"/>
        </patternFill>
      </fill>
    </dxf>
    <dxf>
      <font>
        <b/>
        <i val="0"/>
        <strike val="0"/>
        <condense val="0"/>
        <extend val="0"/>
        <outline val="0"/>
        <shadow val="0"/>
        <u val="none"/>
        <vertAlign val="baseline"/>
        <sz val="11"/>
        <color theme="1"/>
        <name val="Aptos Display"/>
        <family val="2"/>
        <scheme val="maj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Display"/>
        <family val="2"/>
        <scheme val="major"/>
      </font>
      <numFmt numFmtId="14" formatCode="0.00%"/>
      <fill>
        <patternFill patternType="none">
          <fgColor indexed="64"/>
          <bgColor indexed="65"/>
        </patternFill>
      </fill>
    </dxf>
    <dxf>
      <font>
        <b val="0"/>
        <i val="0"/>
        <strike val="0"/>
        <condense val="0"/>
        <extend val="0"/>
        <outline val="0"/>
        <shadow val="0"/>
        <u val="none"/>
        <vertAlign val="baseline"/>
        <sz val="11"/>
        <color theme="1"/>
        <name val="Aptos Display"/>
        <family val="2"/>
        <scheme val="major"/>
      </font>
      <numFmt numFmtId="14" formatCode="0.00%"/>
      <fill>
        <patternFill patternType="none">
          <fgColor indexed="64"/>
          <bgColor indexed="65"/>
        </patternFill>
      </fill>
    </dxf>
    <dxf>
      <font>
        <b val="0"/>
        <i val="0"/>
        <strike val="0"/>
        <condense val="0"/>
        <extend val="0"/>
        <outline val="0"/>
        <shadow val="0"/>
        <u val="none"/>
        <vertAlign val="baseline"/>
        <sz val="11"/>
        <color theme="1"/>
        <name val="Aptos Display"/>
        <family val="2"/>
        <scheme val="major"/>
      </font>
      <numFmt numFmtId="14" formatCode="0.00%"/>
      <fill>
        <patternFill patternType="none">
          <fgColor indexed="64"/>
          <bgColor indexed="65"/>
        </patternFill>
      </fill>
    </dxf>
    <dxf>
      <font>
        <b val="0"/>
        <i val="0"/>
        <strike val="0"/>
        <condense val="0"/>
        <extend val="0"/>
        <outline val="0"/>
        <shadow val="0"/>
        <u val="none"/>
        <vertAlign val="baseline"/>
        <sz val="11"/>
        <color theme="1"/>
        <name val="Aptos Display"/>
        <family val="2"/>
        <scheme val="major"/>
      </font>
      <numFmt numFmtId="14" formatCode="0.00%"/>
      <fill>
        <patternFill patternType="none">
          <fgColor indexed="64"/>
          <bgColor indexed="65"/>
        </patternFill>
      </fill>
    </dxf>
    <dxf>
      <font>
        <b val="0"/>
        <i val="0"/>
        <strike val="0"/>
        <condense val="0"/>
        <extend val="0"/>
        <outline val="0"/>
        <shadow val="0"/>
        <u val="none"/>
        <vertAlign val="baseline"/>
        <sz val="11"/>
        <color theme="1"/>
        <name val="Aptos Display"/>
        <family val="2"/>
        <scheme val="major"/>
      </font>
      <fill>
        <patternFill patternType="none">
          <fgColor indexed="64"/>
          <bgColor indexed="65"/>
        </patternFill>
      </fill>
    </dxf>
    <dxf>
      <font>
        <b val="0"/>
        <i val="0"/>
        <strike val="0"/>
        <condense val="0"/>
        <extend val="0"/>
        <outline val="0"/>
        <shadow val="0"/>
        <u val="none"/>
        <vertAlign val="baseline"/>
        <sz val="11"/>
        <color theme="1"/>
        <name val="Aptos Display"/>
        <family val="2"/>
        <scheme val="major"/>
      </font>
      <fill>
        <patternFill patternType="none">
          <fgColor indexed="64"/>
          <bgColor indexed="65"/>
        </patternFill>
      </fill>
    </dxf>
    <dxf>
      <font>
        <b/>
        <i val="0"/>
        <strike val="0"/>
        <condense val="0"/>
        <extend val="0"/>
        <outline val="0"/>
        <shadow val="0"/>
        <u val="none"/>
        <vertAlign val="baseline"/>
        <sz val="11"/>
        <color theme="1"/>
        <name val="Aptos Display"/>
        <family val="2"/>
        <scheme val="major"/>
      </font>
      <fill>
        <patternFill patternType="none">
          <fgColor indexed="64"/>
          <bgColor indexed="65"/>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8A9E1DA-6C34-448A-BF1D-2C427DF25898}" name="Tableau10" displayName="Tableau10" ref="A5:E15" totalsRowShown="0" headerRowDxfId="128" dataDxfId="127" dataCellStyle="Pourcentage">
  <autoFilter ref="A5:E15" xr:uid="{D8A9E1DA-6C34-448A-BF1D-2C427DF25898}"/>
  <tableColumns count="5">
    <tableColumn id="1" xr3:uid="{8494BEA2-65B9-41F1-B612-DCC18703C452}" name=" " dataDxfId="126"/>
    <tableColumn id="2" xr3:uid="{AC823415-77D7-44C4-8D64-34D3D9DD5F24}" name="2021" dataDxfId="125" dataCellStyle="Pourcentage"/>
    <tableColumn id="3" xr3:uid="{8EF3EA6D-B186-4C58-BA2E-C40E59AEB831}" name="2022" dataDxfId="124" dataCellStyle="Pourcentage"/>
    <tableColumn id="4" xr3:uid="{FD50944B-3660-497C-B763-0E41F004180A}" name="2023" dataDxfId="123" dataCellStyle="Pourcentage"/>
    <tableColumn id="5" xr3:uid="{6A82B756-64DA-47C8-AE64-12A120D46DE5}" name="2024" dataDxfId="122" dataCellStyle="Pourcentage"/>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2CC5725-2A90-4B84-A543-8328E50F0A72}" name="Tableau11" displayName="Tableau11" ref="A19:E24" totalsRowShown="0" headerRowDxfId="121" dataDxfId="120">
  <autoFilter ref="A19:E24" xr:uid="{72CC5725-2A90-4B84-A543-8328E50F0A72}"/>
  <tableColumns count="5">
    <tableColumn id="1" xr3:uid="{F4CE0C2D-1336-4B66-9186-5C107EE81D23}" name=" " dataDxfId="119"/>
    <tableColumn id="2" xr3:uid="{9BED5DB9-069A-4BD9-9AB3-1B6E78D3501B}" name="2021" dataDxfId="118"/>
    <tableColumn id="3" xr3:uid="{D8BFA617-39D8-480C-8004-A25C0707F7F3}" name="2022" dataDxfId="117"/>
    <tableColumn id="4" xr3:uid="{64040B20-207D-4BED-A8BF-7A417285B2D9}" name="2023" dataDxfId="116"/>
    <tableColumn id="5" xr3:uid="{3B7C97FD-0F15-494E-BFD8-750EE139AB82}" name="2024" dataDxfId="1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579B475-6B47-49D0-AA65-18944FD7A838}" name="Tableau12" displayName="Tableau12" ref="A28:F34" totalsRowShown="0" headerRowDxfId="114" dataDxfId="113">
  <autoFilter ref="A28:F34" xr:uid="{6579B475-6B47-49D0-AA65-18944FD7A838}"/>
  <tableColumns count="6">
    <tableColumn id="1" xr3:uid="{7590E4D9-C4ED-4AF0-B049-BE6EC4E93D9A}" name=" " dataDxfId="112"/>
    <tableColumn id="2" xr3:uid="{37984C62-2ED5-4E29-AE86-F045DC95ACF6}" name="2020" dataDxfId="111"/>
    <tableColumn id="3" xr3:uid="{37A60511-9CE5-4DE2-BDDC-82FF9F2E1B91}" name="2021" dataDxfId="110"/>
    <tableColumn id="4" xr3:uid="{59946797-ED95-4A98-954C-071ECB5529BB}" name="2022" dataDxfId="109"/>
    <tableColumn id="5" xr3:uid="{95E6300D-FA86-4058-97CA-BB2895FCBA68}" name="2023" dataDxfId="108"/>
    <tableColumn id="6" xr3:uid="{0804AD9D-79E7-4FA9-8B07-658D02CB96DB}" name="2024" dataDxfId="10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B80D4E6-6755-47F0-A316-3CDAEA776B3F}" name="Tableau13" displayName="Tableau13" ref="A38:B42" totalsRowShown="0" headerRowDxfId="106">
  <autoFilter ref="A38:B42" xr:uid="{6B80D4E6-6755-47F0-A316-3CDAEA776B3F}"/>
  <tableColumns count="2">
    <tableColumn id="1" xr3:uid="{9673709B-958D-4D0C-A181-B5B48E7FCC69}" name=" " dataDxfId="105"/>
    <tableColumn id="2" xr3:uid="{F6854CB8-C358-4E76-8519-3F6E6BF2466A}" name="Valeur"/>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87A2CCE-A442-4551-9370-F107354C2347}" name="Tableau14" displayName="Tableau14" ref="A46:F49" totalsRowShown="0" headerRowDxfId="104">
  <autoFilter ref="A46:F49" xr:uid="{E87A2CCE-A442-4551-9370-F107354C2347}"/>
  <tableColumns count="6">
    <tableColumn id="1" xr3:uid="{12B26E8F-7E3D-4191-BD4D-E622499F31FB}" name=" " dataDxfId="103"/>
    <tableColumn id="2" xr3:uid="{10057B07-70C8-4FD6-9862-D4D06964FB8B}" name="2020" dataDxfId="102"/>
    <tableColumn id="3" xr3:uid="{1C41AEC1-AB87-448D-B85D-30FA639A5B8C}" name="2021"/>
    <tableColumn id="4" xr3:uid="{DC1633F8-8485-4FFA-8CEC-C065CDA01FE1}" name="2022"/>
    <tableColumn id="5" xr3:uid="{E533DC34-1766-4DFA-A557-70ED767ADB2A}" name="2023"/>
    <tableColumn id="6" xr3:uid="{9AB72FF4-F169-4307-8129-A087364C3433}" name="202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15E8CF-32F3-471F-B73C-DE362433878B}" name="Tableau2" displayName="Tableau2" ref="B79:K86" totalsRowShown="0" headerRowDxfId="101" dataDxfId="100" dataCellStyle="Milliers">
  <autoFilter ref="B79:K86" xr:uid="{B315E8CF-32F3-471F-B73C-DE362433878B}"/>
  <tableColumns count="10">
    <tableColumn id="1" xr3:uid="{9E481CA0-8B7A-4591-9595-1E1EAD449CFD}" name="En milions dollars" dataDxfId="99"/>
    <tableColumn id="2" xr3:uid="{EFD7DF8C-EADF-4D1D-9602-95A88A830E93}" name="2021" dataDxfId="98" dataCellStyle="Milliers"/>
    <tableColumn id="3" xr3:uid="{0E4CCE2C-8006-45EE-AB45-317B40122B83}" name="2022" dataDxfId="97" dataCellStyle="Milliers"/>
    <tableColumn id="4" xr3:uid="{1F790776-F275-4312-851F-33EE07378601}" name="2023" dataDxfId="96" dataCellStyle="Milliers"/>
    <tableColumn id="5" xr3:uid="{D46BBD33-7D36-4DDF-9EA5-2A7746302773}" name="2024" dataDxfId="95" dataCellStyle="Milliers"/>
    <tableColumn id="6" xr3:uid="{78374191-512A-4BD6-94FC-926921382FF1}" name="2025" dataDxfId="94" dataCellStyle="Milliers"/>
    <tableColumn id="7" xr3:uid="{D985299C-426D-40FD-AFF5-90A55E998124}" name="2026" dataDxfId="93" dataCellStyle="Milliers"/>
    <tableColumn id="8" xr3:uid="{04251690-1322-4A89-82F6-92C7224E0958}" name="2027" dataDxfId="92" dataCellStyle="Milliers"/>
    <tableColumn id="9" xr3:uid="{6CD4CAB0-ED46-4386-99AD-E8075ECC77E0}" name="2028" dataDxfId="91" dataCellStyle="Milliers"/>
    <tableColumn id="10" xr3:uid="{FAF95DB1-3404-4010-9953-47331EBEC1BB}" name="2029" dataDxfId="90" dataCellStyle="Milliers"/>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B886FC-AE68-449A-9606-425FF859AF37}" name="Tableau3" displayName="Tableau3" ref="B69:K75" totalsRowShown="0" headerRowDxfId="89" dataDxfId="88" dataCellStyle="Pourcentage">
  <autoFilter ref="B69:K75" xr:uid="{BBB886FC-AE68-449A-9606-425FF859AF37}"/>
  <tableColumns count="10">
    <tableColumn id="1" xr3:uid="{B6E1B033-CE19-40EC-B1CB-21840B6B7E78}" name="en %" dataDxfId="87"/>
    <tableColumn id="2" xr3:uid="{38276CE2-1589-4C62-931C-BDD3F6BAEAEE}" name="2021" dataDxfId="86" dataCellStyle="Pourcentage"/>
    <tableColumn id="3" xr3:uid="{40F1C84F-7178-4C13-B7DB-D8F8AC24829F}" name="2022" dataDxfId="85" dataCellStyle="Pourcentage"/>
    <tableColumn id="4" xr3:uid="{40D82CFB-36CC-480B-84C6-612FDE039EB1}" name="2023" dataDxfId="84" dataCellStyle="Pourcentage"/>
    <tableColumn id="5" xr3:uid="{3E78EBB7-B822-4E1A-8B1C-21210F7A0897}" name="2024" dataDxfId="83" dataCellStyle="Pourcentage"/>
    <tableColumn id="6" xr3:uid="{A855D349-55CA-43CA-A4EF-538429DC1578}" name="2025" dataDxfId="82" dataCellStyle="Pourcentage"/>
    <tableColumn id="7" xr3:uid="{F62F617F-AAAB-4DE2-B9E6-312E2400A340}" name="2026" dataDxfId="81" dataCellStyle="Pourcentage"/>
    <tableColumn id="8" xr3:uid="{3DA1C31A-1DF6-4AE2-8166-D62286E0D354}" name="2027" dataDxfId="80" dataCellStyle="Pourcentage"/>
    <tableColumn id="9" xr3:uid="{37E9F30C-C485-4801-9594-FEE19E896CA0}" name="2028" dataDxfId="79" dataCellStyle="Pourcentage"/>
    <tableColumn id="10" xr3:uid="{8402B134-43CA-4ED6-82E6-0AE79BB08787}" name="2029" dataDxfId="78" dataCellStyle="Pourcentag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D6EFBDC-C8CD-4AA3-BDEC-EFB320AC04A2}" name="Tableau4" displayName="Tableau4" ref="B5:G13" totalsRowShown="0" headerRowDxfId="77" dataDxfId="76">
  <autoFilter ref="B5:G13" xr:uid="{0D6EFBDC-C8CD-4AA3-BDEC-EFB320AC04A2}"/>
  <tableColumns count="6">
    <tableColumn id="1" xr3:uid="{DFF4B059-D0E5-4CA1-B2D4-281895A1ABDD}" name="Colonne1" dataDxfId="75"/>
    <tableColumn id="2" xr3:uid="{EA0AF1DE-06EF-46BA-898F-C2784443379D}" name="2020" dataDxfId="74"/>
    <tableColumn id="3" xr3:uid="{B4096951-AA85-43CA-9623-511FA08B177C}" name="2021" dataDxfId="73"/>
    <tableColumn id="4" xr3:uid="{CBE4457B-844B-4DDA-AB05-47421D3347F7}" name="2022" dataDxfId="72"/>
    <tableColumn id="5" xr3:uid="{65A66A3B-E098-4BA6-A910-F91DC27F8E10}" name="2023" dataDxfId="71"/>
    <tableColumn id="6" xr3:uid="{BC452564-CB41-4CB3-A17B-FC5470838F73}" name="2024" dataDxfId="70"/>
  </tableColumns>
  <tableStyleInfo name="TableStyleMedium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FD76B9F-AE88-4CFA-B824-EDE000C8DA6F}" name="Tableau5" displayName="Tableau5" ref="B16:F21" totalsRowShown="0" headerRowDxfId="69" dataDxfId="68">
  <autoFilter ref="B16:F21" xr:uid="{DFD76B9F-AE88-4CFA-B824-EDE000C8DA6F}"/>
  <tableColumns count="5">
    <tableColumn id="1" xr3:uid="{11F2496F-46A7-438A-B1EC-0295CD52D370}" name="Colonne1" dataDxfId="67"/>
    <tableColumn id="2" xr3:uid="{8D5BA382-8246-4071-B721-8D5CD58E31D6}" name="2021" dataDxfId="66" dataCellStyle="Milliers"/>
    <tableColumn id="3" xr3:uid="{9C39008F-B68E-4984-9E78-3686EE762C77}" name="2022" dataDxfId="65" dataCellStyle="Milliers"/>
    <tableColumn id="4" xr3:uid="{9AF21595-C81B-4E95-8C06-70A21F1C5557}" name="2023" dataDxfId="64" dataCellStyle="Milliers"/>
    <tableColumn id="5" xr3:uid="{9EA1F71D-E98F-4953-9554-1BF3FF0CE97D}" name="2024" dataDxfId="63" dataCellStyle="Milliers"/>
  </tableColumns>
  <tableStyleInfo name="TableStyleMedium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312BE8E-13CB-465A-BB47-59537E66D464}" name="Tableau6" displayName="Tableau6" ref="B25:F32" totalsRowShown="0" headerRowDxfId="62" dataDxfId="61" dataCellStyle="Pourcentage">
  <autoFilter ref="B25:F32" xr:uid="{4312BE8E-13CB-465A-BB47-59537E66D464}"/>
  <tableColumns count="5">
    <tableColumn id="1" xr3:uid="{D8BF71D3-382E-4FC1-9689-61C18916889D}" name="En %" dataDxfId="60"/>
    <tableColumn id="2" xr3:uid="{1B0C4AC8-00D0-415E-8978-C348C1EC54C9}" name="2021" dataDxfId="59" dataCellStyle="Pourcentage"/>
    <tableColumn id="3" xr3:uid="{0DB9D3EA-962F-447F-936D-24E0AFB8694D}" name="2022" dataDxfId="58" dataCellStyle="Pourcentage"/>
    <tableColumn id="4" xr3:uid="{4BB4BA89-8D67-4ADA-A833-171BC89827F4}" name="2023" dataDxfId="57" dataCellStyle="Pourcentage"/>
    <tableColumn id="5" xr3:uid="{88C3CB2A-D6D0-47BB-9014-5D4D0C69A166}" name="2024" dataDxfId="56" dataCellStyle="Pourcentage"/>
  </tableColumns>
  <tableStyleInfo name="TableStyleMedium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11AA7B6-ABB7-4E08-A962-E0BA05AB069F}" name="Tableau7" displayName="Tableau7" ref="B40:H44" totalsRowShown="0" headerRowDxfId="55" dataDxfId="54">
  <autoFilter ref="B40:H44" xr:uid="{111AA7B6-ABB7-4E08-A962-E0BA05AB069F}"/>
  <tableColumns count="7">
    <tableColumn id="1" xr3:uid="{B9BBCE5B-C0A2-4230-B50B-E0C3FAD828F9}" name="Colonne1" dataDxfId="53"/>
    <tableColumn id="2" xr3:uid="{F8387CAF-ADED-4692-AE51-D3AA14374752}" name="2025" dataDxfId="52" dataCellStyle="Milliers"/>
    <tableColumn id="3" xr3:uid="{E2063FE1-5A20-494B-BB12-B578C7EA1A9D}" name="2026" dataDxfId="51" dataCellStyle="Milliers"/>
    <tableColumn id="4" xr3:uid="{B1939E89-3D65-4DA5-9A7A-CDA5A7A97BEB}" name="2027" dataDxfId="50" dataCellStyle="Milliers"/>
    <tableColumn id="5" xr3:uid="{908FA688-0A1A-45E3-882E-E6396954B9C4}" name="2028" dataDxfId="49" dataCellStyle="Milliers"/>
    <tableColumn id="6" xr3:uid="{F255C082-2167-433B-98A5-3AB9CFDF8CEA}" name="2029" dataDxfId="48" dataCellStyle="Milliers"/>
    <tableColumn id="7" xr3:uid="{F0585D3A-AECB-4D4C-ADEA-CCDDD23CC512}" name="…" dataDxfId="47" dataCellStyle="Milliers"/>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7695331-0F52-4F87-8142-A7F4F7182905}" name="Tableau8" displayName="Tableau8" ref="A3:I10" totalsRowShown="0" headerRowDxfId="46" dataDxfId="45">
  <autoFilter ref="A3:I10" xr:uid="{B7695331-0F52-4F87-8142-A7F4F7182905}"/>
  <tableColumns count="9">
    <tableColumn id="1" xr3:uid="{E66509B6-30E3-42DE-9144-359C904AE6EB}" name="Colonne1" dataDxfId="44"/>
    <tableColumn id="2" xr3:uid="{A0521500-FAC5-4E66-BBF6-9F06E2D13B70}" name="Entreprise" dataDxfId="43"/>
    <tableColumn id="3" xr3:uid="{BF60649E-10CD-433E-8D8E-D88F10600F29}" name="Ticket" dataDxfId="42"/>
    <tableColumn id="4" xr3:uid="{32057BD4-F8C9-44FB-8D18-7E67D96CBB51}" name="Market Cap" dataDxfId="41" dataCellStyle="Milliers"/>
    <tableColumn id="5" xr3:uid="{911272F9-49D0-42BF-90DB-8BFC7DA6D336}" name="EV" dataDxfId="40" dataCellStyle="Milliers"/>
    <tableColumn id="6" xr3:uid="{C5E09F72-622D-4D65-BD4C-0FAF7336FC4E}" name="EV/EBITDA" dataDxfId="39" dataCellStyle="Milliers"/>
    <tableColumn id="7" xr3:uid="{6DF79625-57E2-483F-98CC-91999D1A835B}" name="EBITDA" dataDxfId="38" dataCellStyle="Milliers">
      <calculatedColumnFormula>E4/F4</calculatedColumnFormula>
    </tableColumn>
    <tableColumn id="8" xr3:uid="{29E79374-EECB-4BBF-9653-75D9B1FDD03A}" name="Dette Nette" dataDxfId="37" dataCellStyle="Milliers">
      <calculatedColumnFormula>E4-D4</calculatedColumnFormula>
    </tableColumn>
    <tableColumn id="9" xr3:uid="{9AA3DDED-0CCB-4550-84FF-16E4B6169166}" name="Unité" dataDxfId="36"/>
  </tableColumns>
  <tableStyleInfo name="TableStyleMedium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802D42F-852A-40CB-9F61-C35D6B08A76A}" name="Tableau9" displayName="Tableau9" ref="A16:I23" totalsRowShown="0" headerRowDxfId="35" dataDxfId="34">
  <autoFilter ref="A16:I23" xr:uid="{D802D42F-852A-40CB-9F61-C35D6B08A76A}"/>
  <tableColumns count="9">
    <tableColumn id="1" xr3:uid="{E14215EE-B8E1-4F39-B240-53C08542DC08}" name="Colonne1" dataDxfId="33"/>
    <tableColumn id="2" xr3:uid="{3CF30F5E-BD81-4E6B-BB30-4B5B423EE613}" name="Entreprise" dataDxfId="32"/>
    <tableColumn id="3" xr3:uid="{B22FCE36-1E02-47DC-B451-2A3D516A3BFF}" name="Ticket" dataDxfId="31"/>
    <tableColumn id="4" xr3:uid="{6E8572B9-1BEB-4FD8-87F2-F7F278CC91A5}" name="Market Cap" dataDxfId="30">
      <calculatedColumnFormula>D4*$C$13</calculatedColumnFormula>
    </tableColumn>
    <tableColumn id="5" xr3:uid="{8AF45170-4C2C-4275-9B99-1C5DEA9F1DA8}" name="EV" dataDxfId="29">
      <calculatedColumnFormula>E4*$C$13</calculatedColumnFormula>
    </tableColumn>
    <tableColumn id="6" xr3:uid="{40E6D3CA-F0ED-4A7D-B820-DC0F0C07DA54}" name="EV/EBITDA" dataDxfId="28">
      <calculatedColumnFormula>F4</calculatedColumnFormula>
    </tableColumn>
    <tableColumn id="7" xr3:uid="{E40F3790-0A3E-406A-A9FA-DB08FEDD71C2}" name="EBITDA" dataDxfId="27">
      <calculatedColumnFormula>E17/F17</calculatedColumnFormula>
    </tableColumn>
    <tableColumn id="8" xr3:uid="{01356E2F-3974-4BED-9B01-6AF2311E7B43}" name="Dette Nette" dataDxfId="26">
      <calculatedColumnFormula>E17-D17</calculatedColumnFormula>
    </tableColumn>
    <tableColumn id="9" xr3:uid="{76B82E5B-1FFD-4DAA-B704-E6ADCBE4D541}" name="Unité" dataDxfId="25"/>
  </tableColumns>
  <tableStyleInfo name="TableStyleMedium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B8790AA-532A-4C9E-8A38-4F5FC512DBFE}" name="Tableau16" displayName="Tableau16" ref="B4:C12" totalsRowShown="0" dataDxfId="24" dataCellStyle="Milliers">
  <autoFilter ref="B4:C12" xr:uid="{DB8790AA-532A-4C9E-8A38-4F5FC512DBFE}"/>
  <tableColumns count="2">
    <tableColumn id="1" xr3:uid="{9B5D1397-A2D8-4329-B932-0994996B77BC}" name="Valeur d'entreprise d'entrée" dataDxfId="23" dataCellStyle="Milliers"/>
    <tableColumn id="2" xr3:uid="{92845FFA-481C-4FA4-B0D3-CD7DC7DDDB03}" name=" 13,998.68 " dataDxfId="22" dataCellStyle="Milliers"/>
  </tableColumns>
  <tableStyleInfo name="TableStyleMedium1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F23129-ACBC-411C-BB5F-651EC30EA935}" name="Tableau17" displayName="Tableau17" ref="B22:G27" totalsRowShown="0" headerRowDxfId="21" dataDxfId="20" dataCellStyle="Milliers">
  <autoFilter ref="B22:G27" xr:uid="{27F23129-ACBC-411C-BB5F-651EC30EA935}"/>
  <tableColumns count="6">
    <tableColumn id="1" xr3:uid="{1C3EC540-36DB-47D1-81A6-59821DF89E16}" name=" " dataDxfId="19" dataCellStyle="Milliers"/>
    <tableColumn id="2" xr3:uid="{88B45D4F-68B4-4D97-B95C-0C171240EFE7}" name="2025" dataDxfId="18" dataCellStyle="Milliers"/>
    <tableColumn id="3" xr3:uid="{D9783B7B-5676-4538-8424-80DA3197D613}" name="2026" dataDxfId="17" dataCellStyle="Milliers"/>
    <tableColumn id="4" xr3:uid="{6685B955-0FC1-4CD2-AA85-3C6EE097B44D}" name="2027" dataDxfId="16" dataCellStyle="Milliers"/>
    <tableColumn id="5" xr3:uid="{6597EC49-99D0-45D6-AFB8-54B2EE865D6E}" name="2028" dataDxfId="15" dataCellStyle="Milliers"/>
    <tableColumn id="6" xr3:uid="{8504EDF1-D70E-49F0-9190-8590370726F6}" name="2029" dataDxfId="14" dataCellStyle="Milliers"/>
  </tableColumns>
  <tableStyleInfo name="TableStyleMedium1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F629C00-77A7-4593-90BF-A96EBFB2B196}" name="Tableau18" displayName="Tableau18" ref="B40:G42" totalsRowShown="0" headerRowDxfId="13">
  <autoFilter ref="B40:G42" xr:uid="{9F629C00-77A7-4593-90BF-A96EBFB2B196}"/>
  <tableColumns count="6">
    <tableColumn id="1" xr3:uid="{53240197-EA6F-44D1-9C62-A4C19E27DB94}" name=" "/>
    <tableColumn id="2" xr3:uid="{0E0879DC-5F3F-4C20-BEE8-E3EAD10501E2}" name="2025">
      <calculatedColumnFormula>IRR(C40:G40)</calculatedColumnFormula>
    </tableColumn>
    <tableColumn id="3" xr3:uid="{93E0FCF2-A0CD-4FEE-9DB8-C4D6D28EE9BA}" name="2026"/>
    <tableColumn id="4" xr3:uid="{3D9A2D01-8E7B-4670-886F-83C91FE321B3}" name="2027"/>
    <tableColumn id="5" xr3:uid="{53A793C1-4A38-4D97-BC20-0105CCBD054F}" name="2028"/>
    <tableColumn id="6" xr3:uid="{E89010CD-73FD-41FC-A57D-598B507C4CDD}" name="2029"/>
  </tableColumns>
  <tableStyleInfo name="TableStyleMedium1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6D88CBF-4EB4-4FF7-82FE-2AA89E3D6B88}" name="Tableau1620" displayName="Tableau1620" ref="B19:C27" totalsRowShown="0" dataDxfId="12" dataCellStyle="Milliers">
  <autoFilter ref="B19:C27" xr:uid="{16D88CBF-4EB4-4FF7-82FE-2AA89E3D6B88}"/>
  <tableColumns count="2">
    <tableColumn id="1" xr3:uid="{AACCF8D9-1E88-4AA5-8A4B-370E57156B71}" name="Valeur d'entreprise d'entrée" dataDxfId="11" dataCellStyle="Milliers"/>
    <tableColumn id="2" xr3:uid="{9B62480C-E515-4114-9F87-475EE223FB09}" name=" 13,998.68 " dataDxfId="10" dataCellStyle="Milliers"/>
  </tableColumns>
  <tableStyleInfo name="TableStyleMedium1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F7FE800-6471-4EF0-A177-879B366BB2B5}" name="Tableau1721" displayName="Tableau1721" ref="B37:G43" totalsRowShown="0" headerRowDxfId="9" dataDxfId="8" dataCellStyle="Milliers">
  <autoFilter ref="B37:G43" xr:uid="{BF7FE800-6471-4EF0-A177-879B366BB2B5}"/>
  <tableColumns count="6">
    <tableColumn id="1" xr3:uid="{C59B1526-5247-44EB-A999-6836868E8D40}" name=" " dataDxfId="7" dataCellStyle="Milliers"/>
    <tableColumn id="2" xr3:uid="{3F10380D-8A6F-4976-8DDF-80A135BB6B96}" name="2025" dataDxfId="6" dataCellStyle="Milliers"/>
    <tableColumn id="3" xr3:uid="{0DB7BBE5-4094-4983-A37B-F10FBFA20BD0}" name="2026" dataDxfId="5" dataCellStyle="Milliers"/>
    <tableColumn id="4" xr3:uid="{5D86E402-5D46-4966-8C7F-F9A28B142DAB}" name="2027" dataDxfId="4" dataCellStyle="Milliers"/>
    <tableColumn id="5" xr3:uid="{B4BF120D-AEEF-4649-9F48-C0B3709B4265}" name="2028" dataDxfId="3" dataCellStyle="Milliers"/>
    <tableColumn id="6" xr3:uid="{446E9E1E-A1B1-4999-B98D-9F96E364B855}" name="2029" dataDxfId="2" dataCellStyle="Milliers"/>
  </tableColumns>
  <tableStyleInfo name="TableStyleMedium1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A467583-4B5E-43AF-830A-5D97B02C0EE0}" name="Tableau1822" displayName="Tableau1822" ref="B56:G58" totalsRowShown="0" headerRowDxfId="1">
  <autoFilter ref="B56:G58" xr:uid="{DA467583-4B5E-43AF-830A-5D97B02C0EE0}"/>
  <tableColumns count="6">
    <tableColumn id="1" xr3:uid="{A04F40AC-64A3-476C-A647-FF0AD079C68A}" name=" "/>
    <tableColumn id="2" xr3:uid="{0986ECC6-3DEB-4760-BEA2-0E4EB5C94627}" name="2025">
      <calculatedColumnFormula>IRR(C56:G56)</calculatedColumnFormula>
    </tableColumn>
    <tableColumn id="3" xr3:uid="{B93EB5DD-7A9D-4733-A748-F22677D37F95}" name="2026"/>
    <tableColumn id="4" xr3:uid="{73A08D09-124D-47FE-B349-1880335A1A3C}" name="2027"/>
    <tableColumn id="5" xr3:uid="{D46BBDF3-1345-45DC-9033-8B5545666925}" name="2028"/>
    <tableColumn id="6" xr3:uid="{2CC4E9F7-E49A-49E6-BE04-2A4CFD93959F}" name="2029" dataDxfId="0">
      <calculatedColumnFormula>C54</calculatedColumnFormula>
    </tableColumn>
  </tableColumns>
  <tableStyleInfo name="TableStyleMedium1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printerSettings" Target="../printerSettings/printerSettings1.bin"/><Relationship Id="rId7" Type="http://schemas.openxmlformats.org/officeDocument/2006/relationships/table" Target="../tables/table4.xml"/><Relationship Id="rId2" Type="http://schemas.openxmlformats.org/officeDocument/2006/relationships/hyperlink" Target="https://pages.stern.nyu.edu/~adamodar/New_Home_Page/datafile/ctryprem.html" TargetMode="External"/><Relationship Id="rId1" Type="http://schemas.openxmlformats.org/officeDocument/2006/relationships/hyperlink" Target="https://fr.finance.yahoo.com/quote/AC.PA/" TargetMode="External"/><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 Id="rId5" Type="http://schemas.openxmlformats.org/officeDocument/2006/relationships/table" Target="../tables/table10.xml"/><Relationship Id="rId4" Type="http://schemas.openxmlformats.org/officeDocument/2006/relationships/table" Target="../tables/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4.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hyperlink" Target="https://fr.finance.yahoo.com/quote/WH/" TargetMode="External"/><Relationship Id="rId7" Type="http://schemas.openxmlformats.org/officeDocument/2006/relationships/hyperlink" Target="https://finance.yahoo.com/quote/0069.HK/" TargetMode="External"/><Relationship Id="rId2" Type="http://schemas.openxmlformats.org/officeDocument/2006/relationships/hyperlink" Target="https://finance.yahoo.com/quote/HST/" TargetMode="External"/><Relationship Id="rId1" Type="http://schemas.openxmlformats.org/officeDocument/2006/relationships/hyperlink" Target="https://finance.yahoo.com/quote/CHH/" TargetMode="External"/><Relationship Id="rId6" Type="http://schemas.openxmlformats.org/officeDocument/2006/relationships/hyperlink" Target="https://finance.yahoo.com/quote/H/" TargetMode="External"/><Relationship Id="rId5" Type="http://schemas.openxmlformats.org/officeDocument/2006/relationships/hyperlink" Target="https://finance.yahoo.com/quote/WTB.L/" TargetMode="External"/><Relationship Id="rId4" Type="http://schemas.openxmlformats.org/officeDocument/2006/relationships/hyperlink" Target="https://finance.yahoo.com/quote/HTHT/" TargetMode="External"/><Relationship Id="rId9" Type="http://schemas.openxmlformats.org/officeDocument/2006/relationships/table" Target="../tables/table1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table" Target="../tables/table1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20B44-E641-4790-A7FD-E18C08E19CA2}">
  <dimension ref="A4:G49"/>
  <sheetViews>
    <sheetView tabSelected="1" zoomScale="90" zoomScaleNormal="90" workbookViewId="0">
      <selection activeCell="G16" sqref="G16"/>
    </sheetView>
  </sheetViews>
  <sheetFormatPr baseColWidth="10" defaultRowHeight="14.4" x14ac:dyDescent="0.3"/>
  <cols>
    <col min="1" max="1" width="61.44140625" style="39" customWidth="1"/>
    <col min="2" max="5" width="11.5546875" style="39"/>
    <col min="6" max="6" width="13.33203125" style="39" customWidth="1"/>
    <col min="7" max="16384" width="11.5546875" style="39"/>
  </cols>
  <sheetData>
    <row r="4" spans="1:7" x14ac:dyDescent="0.3">
      <c r="A4" s="106" t="s">
        <v>2</v>
      </c>
      <c r="B4" s="106"/>
      <c r="C4" s="106"/>
      <c r="D4" s="106"/>
      <c r="E4" s="106"/>
      <c r="F4" s="94"/>
    </row>
    <row r="5" spans="1:7" x14ac:dyDescent="0.3">
      <c r="A5" s="39" t="s">
        <v>46</v>
      </c>
      <c r="B5" s="78" t="s">
        <v>83</v>
      </c>
      <c r="C5" s="78" t="s">
        <v>84</v>
      </c>
      <c r="D5" s="78" t="s">
        <v>85</v>
      </c>
      <c r="E5" s="78" t="s">
        <v>86</v>
      </c>
    </row>
    <row r="6" spans="1:7" x14ac:dyDescent="0.3">
      <c r="A6" s="39" t="s">
        <v>3</v>
      </c>
      <c r="B6" s="39">
        <v>2204</v>
      </c>
      <c r="C6" s="39">
        <v>4224</v>
      </c>
      <c r="D6" s="39">
        <v>5056</v>
      </c>
      <c r="E6" s="39">
        <v>5606</v>
      </c>
      <c r="F6" s="39" t="s">
        <v>10</v>
      </c>
    </row>
    <row r="7" spans="1:7" x14ac:dyDescent="0.3">
      <c r="A7" s="39" t="s">
        <v>23</v>
      </c>
      <c r="B7" s="39">
        <v>22</v>
      </c>
      <c r="C7" s="39">
        <v>675</v>
      </c>
      <c r="D7" s="39">
        <v>1003</v>
      </c>
      <c r="E7" s="39">
        <f>E6-4486</f>
        <v>1120</v>
      </c>
      <c r="F7" s="39" t="s">
        <v>10</v>
      </c>
      <c r="G7" s="39" t="s">
        <v>19</v>
      </c>
    </row>
    <row r="8" spans="1:7" x14ac:dyDescent="0.3">
      <c r="A8" s="39" t="s">
        <v>1</v>
      </c>
      <c r="B8" s="39">
        <v>249</v>
      </c>
      <c r="C8" s="39">
        <v>228</v>
      </c>
      <c r="D8" s="39">
        <v>279</v>
      </c>
      <c r="E8" s="39">
        <v>341</v>
      </c>
      <c r="F8" s="39" t="s">
        <v>10</v>
      </c>
    </row>
    <row r="9" spans="1:7" x14ac:dyDescent="0.3">
      <c r="A9" s="39" t="s">
        <v>14</v>
      </c>
      <c r="B9" s="39">
        <v>53</v>
      </c>
      <c r="C9" s="39">
        <v>543</v>
      </c>
      <c r="D9" s="39">
        <v>779</v>
      </c>
      <c r="E9" s="39">
        <f xml:space="preserve"> 786 + 188</f>
        <v>974</v>
      </c>
      <c r="F9" s="39" t="s">
        <v>10</v>
      </c>
      <c r="G9" s="39" t="s">
        <v>13</v>
      </c>
    </row>
    <row r="10" spans="1:7" x14ac:dyDescent="0.3">
      <c r="A10" s="39" t="s">
        <v>11</v>
      </c>
      <c r="B10" s="39">
        <v>-109</v>
      </c>
      <c r="C10" s="39">
        <v>-84</v>
      </c>
      <c r="D10" s="39">
        <v>-100</v>
      </c>
      <c r="E10" s="39">
        <v>-124</v>
      </c>
      <c r="F10" s="39" t="s">
        <v>10</v>
      </c>
    </row>
    <row r="11" spans="1:7" x14ac:dyDescent="0.3">
      <c r="A11" s="39" t="s">
        <v>15</v>
      </c>
      <c r="B11" s="39">
        <f>B10+B9</f>
        <v>-56</v>
      </c>
      <c r="C11" s="39">
        <f t="shared" ref="C11:E11" si="0">C10+C9</f>
        <v>459</v>
      </c>
      <c r="D11" s="39">
        <f t="shared" si="0"/>
        <v>679</v>
      </c>
      <c r="E11" s="39">
        <f t="shared" si="0"/>
        <v>850</v>
      </c>
      <c r="F11" s="39" t="s">
        <v>10</v>
      </c>
    </row>
    <row r="12" spans="1:7" x14ac:dyDescent="0.3">
      <c r="A12" s="39" t="s">
        <v>12</v>
      </c>
      <c r="B12" s="39">
        <v>69</v>
      </c>
      <c r="C12" s="39">
        <v>-76</v>
      </c>
      <c r="D12" s="39">
        <v>-39</v>
      </c>
      <c r="E12" s="39">
        <v>-193</v>
      </c>
      <c r="F12" s="39" t="s">
        <v>10</v>
      </c>
    </row>
    <row r="13" spans="1:7" x14ac:dyDescent="0.3">
      <c r="A13" s="39" t="s">
        <v>16</v>
      </c>
      <c r="B13" s="80">
        <v>0</v>
      </c>
      <c r="C13" s="80">
        <f>-C12/C11</f>
        <v>0.16557734204793029</v>
      </c>
      <c r="D13" s="80">
        <f t="shared" ref="D13:E13" si="1">-D12/D11</f>
        <v>5.7437407952871868E-2</v>
      </c>
      <c r="E13" s="80">
        <f t="shared" si="1"/>
        <v>0.22705882352941176</v>
      </c>
    </row>
    <row r="14" spans="1:7" x14ac:dyDescent="0.3">
      <c r="A14" s="39" t="s">
        <v>17</v>
      </c>
      <c r="B14" s="80">
        <f>($C$13+$E$13)/2</f>
        <v>0.19631808278867102</v>
      </c>
      <c r="C14" s="80">
        <f t="shared" ref="C14:E14" si="2">($C$13+$E$13)/2</f>
        <v>0.19631808278867102</v>
      </c>
      <c r="D14" s="80">
        <f t="shared" si="2"/>
        <v>0.19631808278867102</v>
      </c>
      <c r="E14" s="80">
        <f t="shared" si="2"/>
        <v>0.19631808278867102</v>
      </c>
      <c r="G14" s="39" t="s">
        <v>18</v>
      </c>
    </row>
    <row r="15" spans="1:7" x14ac:dyDescent="0.3">
      <c r="A15" s="39" t="s">
        <v>20</v>
      </c>
      <c r="B15" s="80">
        <f>B14-B13</f>
        <v>0.19631808278867102</v>
      </c>
      <c r="C15" s="80">
        <f t="shared" ref="C15:E15" si="3">C14-C13</f>
        <v>3.0740740740740735E-2</v>
      </c>
      <c r="D15" s="80">
        <f t="shared" si="3"/>
        <v>0.13888067483579916</v>
      </c>
      <c r="E15" s="80">
        <f t="shared" si="3"/>
        <v>-3.0740740740740735E-2</v>
      </c>
    </row>
    <row r="18" spans="1:7" x14ac:dyDescent="0.3">
      <c r="A18" s="106" t="s">
        <v>32</v>
      </c>
      <c r="B18" s="106"/>
      <c r="C18" s="106"/>
      <c r="D18" s="106"/>
      <c r="E18" s="106"/>
      <c r="F18" s="95"/>
    </row>
    <row r="19" spans="1:7" x14ac:dyDescent="0.3">
      <c r="A19" s="39" t="s">
        <v>46</v>
      </c>
      <c r="B19" s="78" t="s">
        <v>83</v>
      </c>
      <c r="C19" s="78" t="s">
        <v>84</v>
      </c>
      <c r="D19" s="78" t="s">
        <v>85</v>
      </c>
      <c r="E19" s="78" t="s">
        <v>86</v>
      </c>
    </row>
    <row r="20" spans="1:7" x14ac:dyDescent="0.3">
      <c r="A20" s="39" t="s">
        <v>24</v>
      </c>
      <c r="B20" s="39">
        <v>-240</v>
      </c>
      <c r="C20" s="39">
        <v>511</v>
      </c>
      <c r="D20" s="39">
        <v>669</v>
      </c>
      <c r="E20" s="39">
        <v>733</v>
      </c>
      <c r="F20" s="39" t="s">
        <v>25</v>
      </c>
    </row>
    <row r="21" spans="1:7" x14ac:dyDescent="0.3">
      <c r="A21" s="39" t="s">
        <v>21</v>
      </c>
      <c r="B21" s="39">
        <v>-80</v>
      </c>
      <c r="C21" s="39">
        <v>-111</v>
      </c>
      <c r="D21" s="39">
        <v>-254</v>
      </c>
      <c r="E21" s="39">
        <v>-293</v>
      </c>
    </row>
    <row r="22" spans="1:7" x14ac:dyDescent="0.3">
      <c r="A22" s="39" t="s">
        <v>28</v>
      </c>
      <c r="B22" s="39">
        <v>-38</v>
      </c>
      <c r="C22" s="39">
        <v>-131</v>
      </c>
      <c r="D22" s="39">
        <v>-109</v>
      </c>
      <c r="E22" s="39">
        <v>-58</v>
      </c>
    </row>
    <row r="23" spans="1:7" x14ac:dyDescent="0.3">
      <c r="A23" s="39" t="s">
        <v>29</v>
      </c>
      <c r="B23" s="39">
        <v>-10</v>
      </c>
      <c r="C23" s="39">
        <v>18</v>
      </c>
      <c r="D23" s="39">
        <v>-29</v>
      </c>
      <c r="E23" s="39">
        <v>18</v>
      </c>
      <c r="F23" s="39" t="s">
        <v>26</v>
      </c>
      <c r="G23" s="39" t="s">
        <v>31</v>
      </c>
    </row>
    <row r="24" spans="1:7" x14ac:dyDescent="0.3">
      <c r="A24" s="41" t="s">
        <v>22</v>
      </c>
      <c r="B24" s="39">
        <v>-88</v>
      </c>
      <c r="C24" s="39">
        <v>-73</v>
      </c>
      <c r="D24" s="39">
        <v>-100</v>
      </c>
      <c r="E24" s="39">
        <v>-106</v>
      </c>
      <c r="G24" s="39" t="s">
        <v>30</v>
      </c>
    </row>
    <row r="27" spans="1:7" x14ac:dyDescent="0.3">
      <c r="A27" s="106" t="s">
        <v>5</v>
      </c>
      <c r="B27" s="106"/>
      <c r="C27" s="106"/>
      <c r="D27" s="106"/>
      <c r="E27" s="106"/>
      <c r="F27" s="106"/>
    </row>
    <row r="28" spans="1:7" x14ac:dyDescent="0.3">
      <c r="A28" s="39" t="s">
        <v>46</v>
      </c>
      <c r="B28" s="78" t="s">
        <v>99</v>
      </c>
      <c r="C28" s="78" t="s">
        <v>83</v>
      </c>
      <c r="D28" s="78" t="s">
        <v>84</v>
      </c>
      <c r="E28" s="78" t="s">
        <v>85</v>
      </c>
      <c r="F28" s="78" t="s">
        <v>86</v>
      </c>
    </row>
    <row r="29" spans="1:7" x14ac:dyDescent="0.3">
      <c r="A29" s="39" t="s">
        <v>6</v>
      </c>
      <c r="C29" s="39">
        <v>1666</v>
      </c>
      <c r="D29" s="39">
        <v>1643</v>
      </c>
      <c r="E29" s="39">
        <v>1283</v>
      </c>
      <c r="F29" s="39">
        <v>1244</v>
      </c>
    </row>
    <row r="30" spans="1:7" x14ac:dyDescent="0.3">
      <c r="A30" s="39" t="s">
        <v>7</v>
      </c>
      <c r="B30" s="39">
        <f t="shared" ref="B30" si="4">B31+B32</f>
        <v>3442</v>
      </c>
      <c r="C30" s="39">
        <f t="shared" ref="C30" si="5">C31+C32</f>
        <v>3202</v>
      </c>
      <c r="D30" s="39">
        <f t="shared" ref="D30" si="6">D31+D32</f>
        <v>2869</v>
      </c>
      <c r="E30" s="39">
        <f t="shared" ref="E30" si="7">E31+E32</f>
        <v>2623</v>
      </c>
      <c r="F30" s="39">
        <f>F31+F32</f>
        <v>3002</v>
      </c>
    </row>
    <row r="31" spans="1:7" x14ac:dyDescent="0.3">
      <c r="A31" s="39" t="s">
        <v>123</v>
      </c>
      <c r="B31" s="39">
        <f>2473</f>
        <v>2473</v>
      </c>
      <c r="C31" s="39">
        <v>2572</v>
      </c>
      <c r="D31" s="39">
        <v>2261</v>
      </c>
      <c r="E31" s="39">
        <v>1887</v>
      </c>
      <c r="F31" s="39">
        <v>2524</v>
      </c>
    </row>
    <row r="32" spans="1:7" x14ac:dyDescent="0.3">
      <c r="A32" s="39" t="s">
        <v>124</v>
      </c>
      <c r="B32" s="39">
        <f>969</f>
        <v>969</v>
      </c>
      <c r="C32" s="39">
        <v>630</v>
      </c>
      <c r="D32" s="39">
        <v>608</v>
      </c>
      <c r="E32" s="39">
        <v>736</v>
      </c>
      <c r="F32" s="39">
        <v>478</v>
      </c>
    </row>
    <row r="33" spans="1:7" x14ac:dyDescent="0.3">
      <c r="A33" s="39" t="s">
        <v>8</v>
      </c>
      <c r="B33" s="39">
        <f>B30-B29</f>
        <v>3442</v>
      </c>
      <c r="C33" s="39">
        <f>C30-C29</f>
        <v>1536</v>
      </c>
      <c r="D33" s="39">
        <f>D30-D29</f>
        <v>1226</v>
      </c>
      <c r="E33" s="39">
        <f t="shared" ref="E33:F33" si="8">E30-E29</f>
        <v>1340</v>
      </c>
      <c r="F33" s="39">
        <f t="shared" si="8"/>
        <v>1758</v>
      </c>
    </row>
    <row r="34" spans="1:7" x14ac:dyDescent="0.3">
      <c r="A34" s="39" t="s">
        <v>138</v>
      </c>
      <c r="F34" s="39">
        <v>5469</v>
      </c>
    </row>
    <row r="35" spans="1:7" x14ac:dyDescent="0.3">
      <c r="A35" s="39" t="s">
        <v>122</v>
      </c>
    </row>
    <row r="37" spans="1:7" x14ac:dyDescent="0.3">
      <c r="A37" s="106" t="s">
        <v>115</v>
      </c>
      <c r="B37" s="106"/>
      <c r="C37" s="95"/>
      <c r="D37" s="95"/>
      <c r="E37" s="95"/>
      <c r="F37" s="95"/>
    </row>
    <row r="38" spans="1:7" x14ac:dyDescent="0.3">
      <c r="A38" s="39" t="s">
        <v>46</v>
      </c>
      <c r="B38" s="39" t="s">
        <v>110</v>
      </c>
      <c r="C38" s="39" t="s">
        <v>109</v>
      </c>
    </row>
    <row r="39" spans="1:7" x14ac:dyDescent="0.3">
      <c r="A39" s="39" t="s">
        <v>144</v>
      </c>
      <c r="B39" s="87">
        <v>5.0099999999999999E-2</v>
      </c>
      <c r="C39" s="10" t="s">
        <v>108</v>
      </c>
    </row>
    <row r="40" spans="1:7" x14ac:dyDescent="0.3">
      <c r="A40" s="39" t="s">
        <v>107</v>
      </c>
      <c r="B40" s="39">
        <v>0.76</v>
      </c>
      <c r="C40" s="45" t="s">
        <v>111</v>
      </c>
    </row>
    <row r="41" spans="1:7" x14ac:dyDescent="0.3">
      <c r="A41" s="39" t="s">
        <v>113</v>
      </c>
      <c r="B41" s="87">
        <v>3.5000000000000003E-2</v>
      </c>
      <c r="C41" s="39" t="s">
        <v>112</v>
      </c>
    </row>
    <row r="42" spans="1:7" x14ac:dyDescent="0.3">
      <c r="A42" s="39" t="s">
        <v>117</v>
      </c>
      <c r="B42" s="39" t="s">
        <v>116</v>
      </c>
    </row>
    <row r="43" spans="1:7" x14ac:dyDescent="0.3">
      <c r="B43" s="88"/>
    </row>
    <row r="44" spans="1:7" x14ac:dyDescent="0.3">
      <c r="B44" s="88"/>
    </row>
    <row r="45" spans="1:7" x14ac:dyDescent="0.3">
      <c r="A45" s="106" t="s">
        <v>114</v>
      </c>
      <c r="B45" s="106"/>
      <c r="C45" s="106"/>
      <c r="D45" s="106"/>
      <c r="E45" s="106"/>
      <c r="F45" s="106"/>
    </row>
    <row r="46" spans="1:7" x14ac:dyDescent="0.3">
      <c r="A46" s="39" t="s">
        <v>46</v>
      </c>
      <c r="B46" s="95" t="s">
        <v>99</v>
      </c>
      <c r="C46" s="95" t="s">
        <v>83</v>
      </c>
      <c r="D46" s="95" t="s">
        <v>84</v>
      </c>
      <c r="E46" s="95" t="s">
        <v>85</v>
      </c>
      <c r="F46" s="95" t="s">
        <v>86</v>
      </c>
    </row>
    <row r="47" spans="1:7" x14ac:dyDescent="0.3">
      <c r="A47" s="39" t="s">
        <v>7</v>
      </c>
      <c r="B47" s="39">
        <v>3442</v>
      </c>
      <c r="C47" s="39">
        <v>3202</v>
      </c>
      <c r="D47" s="39">
        <v>2869</v>
      </c>
      <c r="E47" s="39">
        <v>2623</v>
      </c>
      <c r="F47" s="39">
        <v>3002</v>
      </c>
      <c r="G47" s="39" t="s">
        <v>9</v>
      </c>
    </row>
    <row r="48" spans="1:7" x14ac:dyDescent="0.3">
      <c r="A48" s="39" t="s">
        <v>120</v>
      </c>
      <c r="C48" s="39">
        <v>-83</v>
      </c>
      <c r="D48" s="39">
        <v>-85</v>
      </c>
      <c r="E48" s="39">
        <v>-94</v>
      </c>
      <c r="F48" s="39">
        <v>-97</v>
      </c>
      <c r="G48" s="39" t="s">
        <v>121</v>
      </c>
    </row>
    <row r="49" spans="1:7" x14ac:dyDescent="0.3">
      <c r="A49" s="39" t="s">
        <v>119</v>
      </c>
      <c r="C49" s="89">
        <v>0.02</v>
      </c>
      <c r="D49" s="87">
        <v>2.1000000000000001E-2</v>
      </c>
      <c r="E49" s="87">
        <v>2.9000000000000001E-2</v>
      </c>
      <c r="F49" s="87">
        <v>2.53E-2</v>
      </c>
      <c r="G49" s="39" t="s">
        <v>125</v>
      </c>
    </row>
  </sheetData>
  <mergeCells count="5">
    <mergeCell ref="A45:F45"/>
    <mergeCell ref="A37:B37"/>
    <mergeCell ref="A18:E18"/>
    <mergeCell ref="A4:E4"/>
    <mergeCell ref="A27:F27"/>
  </mergeCells>
  <hyperlinks>
    <hyperlink ref="C40" r:id="rId1" xr:uid="{0EA2ECCA-B79E-4903-9173-3C25A8FE7BC1}"/>
    <hyperlink ref="C39" r:id="rId2" xr:uid="{2EE28E3B-B76C-4D33-A9FE-9663902B57C3}"/>
  </hyperlinks>
  <pageMargins left="0.25" right="0.25" top="0.75" bottom="0.75" header="0.3" footer="0.3"/>
  <pageSetup orientation="landscape" r:id="rId3"/>
  <tableParts count="5">
    <tablePart r:id="rId4"/>
    <tablePart r:id="rId5"/>
    <tablePart r:id="rId6"/>
    <tablePart r:id="rId7"/>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DF2E3-14A9-4199-8B45-8F02A0198E56}">
  <dimension ref="B2:N93"/>
  <sheetViews>
    <sheetView zoomScale="75" zoomScaleNormal="75" workbookViewId="0">
      <selection activeCell="C1" sqref="C1"/>
    </sheetView>
  </sheetViews>
  <sheetFormatPr baseColWidth="10" defaultRowHeight="14.4" x14ac:dyDescent="0.3"/>
  <cols>
    <col min="1" max="1" width="11.5546875" style="39"/>
    <col min="2" max="2" width="39.88671875" style="39" bestFit="1" customWidth="1"/>
    <col min="3" max="3" width="14.88671875" style="39" customWidth="1"/>
    <col min="4" max="16384" width="11.5546875" style="39"/>
  </cols>
  <sheetData>
    <row r="2" spans="2:7" x14ac:dyDescent="0.3">
      <c r="B2" s="107" t="s">
        <v>44</v>
      </c>
      <c r="C2" s="107"/>
      <c r="D2" s="107"/>
      <c r="E2" s="107"/>
      <c r="F2" s="107"/>
      <c r="G2" s="107"/>
    </row>
    <row r="4" spans="2:7" x14ac:dyDescent="0.3">
      <c r="B4" s="107" t="s">
        <v>2</v>
      </c>
      <c r="C4" s="107"/>
      <c r="D4" s="107"/>
      <c r="E4" s="107"/>
      <c r="F4" s="107"/>
      <c r="G4" s="107"/>
    </row>
    <row r="5" spans="2:7" x14ac:dyDescent="0.3">
      <c r="B5" s="39" t="s">
        <v>82</v>
      </c>
      <c r="C5" s="78" t="s">
        <v>99</v>
      </c>
      <c r="D5" s="78" t="s">
        <v>83</v>
      </c>
      <c r="E5" s="78" t="s">
        <v>84</v>
      </c>
      <c r="F5" s="78" t="s">
        <v>85</v>
      </c>
      <c r="G5" s="78" t="s">
        <v>86</v>
      </c>
    </row>
    <row r="6" spans="2:7" x14ac:dyDescent="0.3">
      <c r="B6" s="39" t="s">
        <v>3</v>
      </c>
      <c r="C6" s="79">
        <v>1621</v>
      </c>
      <c r="D6" s="79">
        <v>2204</v>
      </c>
      <c r="E6" s="79">
        <v>4224</v>
      </c>
      <c r="F6" s="79">
        <v>5056</v>
      </c>
      <c r="G6" s="79">
        <v>5606</v>
      </c>
    </row>
    <row r="7" spans="2:7" x14ac:dyDescent="0.3">
      <c r="B7" s="39" t="s">
        <v>23</v>
      </c>
      <c r="C7" s="79"/>
      <c r="D7" s="79">
        <v>22</v>
      </c>
      <c r="E7" s="79">
        <v>675</v>
      </c>
      <c r="F7" s="79">
        <v>1003</v>
      </c>
      <c r="G7" s="79">
        <v>1120</v>
      </c>
    </row>
    <row r="8" spans="2:7" x14ac:dyDescent="0.3">
      <c r="B8" s="39" t="s">
        <v>1</v>
      </c>
      <c r="C8" s="79"/>
      <c r="D8" s="79">
        <v>249</v>
      </c>
      <c r="E8" s="79">
        <v>228</v>
      </c>
      <c r="F8" s="79">
        <v>279</v>
      </c>
      <c r="G8" s="79">
        <v>341</v>
      </c>
    </row>
    <row r="9" spans="2:7" x14ac:dyDescent="0.3">
      <c r="B9" s="39" t="s">
        <v>14</v>
      </c>
      <c r="C9" s="79"/>
      <c r="D9" s="79">
        <v>53</v>
      </c>
      <c r="E9" s="79">
        <v>543</v>
      </c>
      <c r="F9" s="79">
        <v>779</v>
      </c>
      <c r="G9" s="79">
        <v>974</v>
      </c>
    </row>
    <row r="10" spans="2:7" x14ac:dyDescent="0.3">
      <c r="B10" s="39" t="s">
        <v>11</v>
      </c>
      <c r="C10" s="79"/>
      <c r="D10" s="79">
        <v>-109</v>
      </c>
      <c r="E10" s="79">
        <v>-84</v>
      </c>
      <c r="F10" s="79">
        <v>-100</v>
      </c>
      <c r="G10" s="79">
        <v>-124</v>
      </c>
    </row>
    <row r="11" spans="2:7" x14ac:dyDescent="0.3">
      <c r="B11" s="39" t="s">
        <v>15</v>
      </c>
      <c r="C11" s="79"/>
      <c r="D11" s="79">
        <v>-56</v>
      </c>
      <c r="E11" s="79">
        <v>459</v>
      </c>
      <c r="F11" s="79">
        <v>679</v>
      </c>
      <c r="G11" s="79">
        <v>850</v>
      </c>
    </row>
    <row r="12" spans="2:7" x14ac:dyDescent="0.3">
      <c r="B12" s="39" t="s">
        <v>12</v>
      </c>
      <c r="C12" s="79"/>
      <c r="D12" s="79">
        <v>69</v>
      </c>
      <c r="E12" s="79">
        <v>-76</v>
      </c>
      <c r="F12" s="79">
        <v>-39</v>
      </c>
      <c r="G12" s="79">
        <v>-193</v>
      </c>
    </row>
    <row r="13" spans="2:7" x14ac:dyDescent="0.3">
      <c r="B13" s="39" t="s">
        <v>17</v>
      </c>
      <c r="D13" s="80">
        <v>0.19631808278867102</v>
      </c>
      <c r="E13" s="80">
        <v>0.19631808278867102</v>
      </c>
      <c r="F13" s="80">
        <v>0.19631808278867102</v>
      </c>
      <c r="G13" s="80">
        <v>0.19631808278867102</v>
      </c>
    </row>
    <row r="15" spans="2:7" x14ac:dyDescent="0.3">
      <c r="B15" s="107" t="s">
        <v>32</v>
      </c>
      <c r="C15" s="107"/>
      <c r="D15" s="107"/>
      <c r="E15" s="107"/>
      <c r="F15" s="107"/>
      <c r="G15" s="107"/>
    </row>
    <row r="16" spans="2:7" x14ac:dyDescent="0.3">
      <c r="B16" s="39" t="s">
        <v>82</v>
      </c>
      <c r="C16" s="78" t="s">
        <v>83</v>
      </c>
      <c r="D16" s="78" t="s">
        <v>84</v>
      </c>
      <c r="E16" s="78" t="s">
        <v>85</v>
      </c>
      <c r="F16" s="78" t="s">
        <v>86</v>
      </c>
      <c r="G16" s="78"/>
    </row>
    <row r="17" spans="2:9" x14ac:dyDescent="0.3">
      <c r="B17" s="39" t="s">
        <v>38</v>
      </c>
      <c r="C17" s="79">
        <v>-240</v>
      </c>
      <c r="D17" s="79">
        <v>511</v>
      </c>
      <c r="E17" s="79">
        <v>669</v>
      </c>
      <c r="F17" s="79">
        <v>733</v>
      </c>
    </row>
    <row r="18" spans="2:9" x14ac:dyDescent="0.3">
      <c r="B18" s="39" t="s">
        <v>39</v>
      </c>
      <c r="C18" s="79">
        <v>-80</v>
      </c>
      <c r="D18" s="79">
        <v>-111</v>
      </c>
      <c r="E18" s="79">
        <v>-254</v>
      </c>
      <c r="F18" s="79">
        <v>-293</v>
      </c>
    </row>
    <row r="19" spans="2:9" x14ac:dyDescent="0.3">
      <c r="B19" s="39" t="s">
        <v>27</v>
      </c>
      <c r="C19" s="79">
        <v>-38</v>
      </c>
      <c r="D19" s="79">
        <v>-131</v>
      </c>
      <c r="E19" s="79">
        <v>-109</v>
      </c>
      <c r="F19" s="79">
        <v>-58</v>
      </c>
    </row>
    <row r="20" spans="2:9" x14ac:dyDescent="0.3">
      <c r="B20" s="39" t="s">
        <v>37</v>
      </c>
      <c r="C20" s="79">
        <v>-10</v>
      </c>
      <c r="D20" s="79">
        <v>-18</v>
      </c>
      <c r="E20" s="79">
        <v>-29</v>
      </c>
      <c r="F20" s="79">
        <v>18</v>
      </c>
    </row>
    <row r="21" spans="2:9" x14ac:dyDescent="0.3">
      <c r="B21" s="41" t="s">
        <v>36</v>
      </c>
      <c r="C21" s="79">
        <v>-88</v>
      </c>
      <c r="D21" s="79">
        <v>-73</v>
      </c>
      <c r="E21" s="79">
        <v>-100</v>
      </c>
      <c r="F21" s="79">
        <v>-106</v>
      </c>
      <c r="I21" s="39" t="s">
        <v>46</v>
      </c>
    </row>
    <row r="24" spans="2:9" x14ac:dyDescent="0.3">
      <c r="B24" s="107" t="s">
        <v>33</v>
      </c>
      <c r="C24" s="107"/>
      <c r="D24" s="107"/>
      <c r="E24" s="107"/>
      <c r="F24" s="107"/>
      <c r="G24" s="107"/>
    </row>
    <row r="25" spans="2:9" x14ac:dyDescent="0.3">
      <c r="B25" s="39" t="s">
        <v>100</v>
      </c>
      <c r="C25" s="78" t="s">
        <v>83</v>
      </c>
      <c r="D25" s="78" t="s">
        <v>84</v>
      </c>
      <c r="E25" s="78" t="s">
        <v>85</v>
      </c>
      <c r="F25" s="78" t="s">
        <v>86</v>
      </c>
      <c r="G25" s="78"/>
    </row>
    <row r="26" spans="2:9" x14ac:dyDescent="0.3">
      <c r="B26" s="39" t="s">
        <v>34</v>
      </c>
      <c r="C26" s="81">
        <f>D7/D6</f>
        <v>9.9818511796733213E-3</v>
      </c>
      <c r="D26" s="81">
        <f>E7/E6</f>
        <v>0.15980113636363635</v>
      </c>
      <c r="E26" s="81">
        <f>F7/F6</f>
        <v>0.19837816455696203</v>
      </c>
      <c r="F26" s="81">
        <f>G7/G6</f>
        <v>0.19978594363182306</v>
      </c>
      <c r="G26" s="82"/>
    </row>
    <row r="27" spans="2:9" x14ac:dyDescent="0.3">
      <c r="B27" s="39" t="s">
        <v>66</v>
      </c>
      <c r="C27" s="81">
        <f>D8/D6</f>
        <v>0.11297640653357532</v>
      </c>
      <c r="D27" s="81">
        <f t="shared" ref="D27:F27" si="0">E8/E6</f>
        <v>5.3977272727272728E-2</v>
      </c>
      <c r="E27" s="81">
        <f t="shared" si="0"/>
        <v>5.5181962025316458E-2</v>
      </c>
      <c r="F27" s="81">
        <f t="shared" si="0"/>
        <v>6.0827684623617553E-2</v>
      </c>
      <c r="G27" s="82"/>
    </row>
    <row r="28" spans="2:9" x14ac:dyDescent="0.3">
      <c r="B28" s="39" t="s">
        <v>58</v>
      </c>
      <c r="C28" s="81">
        <f>-C18/D6</f>
        <v>3.6297640653357534E-2</v>
      </c>
      <c r="D28" s="81">
        <f>-D18/E6</f>
        <v>2.6278409090909092E-2</v>
      </c>
      <c r="E28" s="81">
        <f>-E18/F6</f>
        <v>5.0237341772151896E-2</v>
      </c>
      <c r="F28" s="81">
        <f>-F18/G6</f>
        <v>5.2265429896539421E-2</v>
      </c>
      <c r="G28" s="82"/>
    </row>
    <row r="29" spans="2:9" x14ac:dyDescent="0.3">
      <c r="B29" s="39" t="s">
        <v>59</v>
      </c>
      <c r="C29" s="81">
        <f>C19/D6</f>
        <v>-1.7241379310344827E-2</v>
      </c>
      <c r="D29" s="81">
        <f>D19/E6</f>
        <v>-3.1013257575757576E-2</v>
      </c>
      <c r="E29" s="81">
        <f>E19/F6</f>
        <v>-2.1558544303797469E-2</v>
      </c>
      <c r="F29" s="81">
        <f>F19/G6</f>
        <v>-1.0346057795219408E-2</v>
      </c>
      <c r="G29" s="82"/>
    </row>
    <row r="30" spans="2:9" x14ac:dyDescent="0.3">
      <c r="B30" s="39" t="s">
        <v>60</v>
      </c>
      <c r="C30" s="81">
        <f>C20/D6</f>
        <v>-4.5372050816696917E-3</v>
      </c>
      <c r="D30" s="81">
        <f>D20/E6</f>
        <v>-4.261363636363636E-3</v>
      </c>
      <c r="E30" s="81">
        <f>E20/F6</f>
        <v>-5.7357594936708863E-3</v>
      </c>
      <c r="F30" s="81">
        <f>F20/G6</f>
        <v>3.2108455226542991E-3</v>
      </c>
      <c r="G30" s="82"/>
    </row>
    <row r="31" spans="2:9" x14ac:dyDescent="0.3">
      <c r="B31" s="39" t="s">
        <v>78</v>
      </c>
      <c r="C31" s="81">
        <f>D6/C6-1</f>
        <v>0.35965453423812455</v>
      </c>
      <c r="D31" s="81">
        <f>E6/D6-1</f>
        <v>0.91651542649727769</v>
      </c>
      <c r="E31" s="81">
        <f>F6/E6-1</f>
        <v>0.19696969696969702</v>
      </c>
      <c r="F31" s="81">
        <f>G6/F6-1</f>
        <v>0.10878164556962022</v>
      </c>
      <c r="G31" s="82"/>
    </row>
    <row r="32" spans="2:9" x14ac:dyDescent="0.3">
      <c r="B32" s="39" t="s">
        <v>79</v>
      </c>
      <c r="C32" s="81">
        <f xml:space="preserve"> (G6/D6)^(1/4) -1</f>
        <v>0.26287502853746814</v>
      </c>
      <c r="D32" s="81"/>
      <c r="E32" s="81"/>
      <c r="F32" s="81"/>
      <c r="G32" s="82"/>
    </row>
    <row r="34" spans="2:14" x14ac:dyDescent="0.3">
      <c r="B34" s="107" t="s">
        <v>40</v>
      </c>
      <c r="C34" s="107"/>
      <c r="D34" s="107"/>
      <c r="E34" s="107"/>
      <c r="F34" s="107"/>
      <c r="G34" s="107"/>
    </row>
    <row r="35" spans="2:14" x14ac:dyDescent="0.3">
      <c r="B35" s="39" t="s">
        <v>67</v>
      </c>
      <c r="C35" s="39" t="s">
        <v>258</v>
      </c>
    </row>
    <row r="36" spans="2:14" x14ac:dyDescent="0.3">
      <c r="C36" s="39" t="s">
        <v>167</v>
      </c>
    </row>
    <row r="37" spans="2:14" x14ac:dyDescent="0.3">
      <c r="B37" s="39" t="s">
        <v>66</v>
      </c>
      <c r="C37" s="39" t="s">
        <v>71</v>
      </c>
    </row>
    <row r="38" spans="2:14" x14ac:dyDescent="0.3">
      <c r="B38" s="39" t="s">
        <v>68</v>
      </c>
      <c r="C38" s="39" t="s">
        <v>42</v>
      </c>
    </row>
    <row r="39" spans="2:14" x14ac:dyDescent="0.3">
      <c r="B39" s="39" t="s">
        <v>4</v>
      </c>
      <c r="C39" s="39" t="s">
        <v>41</v>
      </c>
    </row>
    <row r="40" spans="2:14" x14ac:dyDescent="0.3">
      <c r="B40" s="39" t="s">
        <v>69</v>
      </c>
      <c r="C40" s="39" t="s">
        <v>70</v>
      </c>
    </row>
    <row r="41" spans="2:14" x14ac:dyDescent="0.3">
      <c r="C41" s="39" t="s">
        <v>43</v>
      </c>
    </row>
    <row r="43" spans="2:14" x14ac:dyDescent="0.3">
      <c r="B43" s="107" t="s">
        <v>45</v>
      </c>
      <c r="C43" s="107"/>
      <c r="D43" s="107"/>
      <c r="E43" s="107"/>
      <c r="F43" s="107"/>
      <c r="G43" s="107"/>
      <c r="H43" s="107"/>
      <c r="I43" s="107"/>
      <c r="J43" s="107"/>
      <c r="K43" s="107"/>
      <c r="L43" s="107"/>
      <c r="M43" s="107"/>
    </row>
    <row r="44" spans="2:14" x14ac:dyDescent="0.3">
      <c r="B44" s="109" t="s">
        <v>48</v>
      </c>
      <c r="C44" s="109"/>
      <c r="D44" s="109"/>
      <c r="E44" s="109"/>
      <c r="F44" s="109"/>
      <c r="G44" s="109"/>
      <c r="H44" s="109"/>
      <c r="I44" s="109"/>
      <c r="J44" s="109"/>
      <c r="K44" s="109"/>
      <c r="L44" s="109"/>
      <c r="M44" s="109"/>
    </row>
    <row r="45" spans="2:14" x14ac:dyDescent="0.3">
      <c r="B45" s="108" t="s">
        <v>47</v>
      </c>
      <c r="C45" s="108"/>
      <c r="D45" s="108"/>
      <c r="E45" s="108"/>
      <c r="F45" s="108"/>
      <c r="G45" s="108"/>
      <c r="H45" s="108"/>
      <c r="I45" s="108"/>
      <c r="J45" s="108"/>
      <c r="K45" s="108"/>
      <c r="L45" s="108"/>
      <c r="M45" s="108"/>
    </row>
    <row r="46" spans="2:14" x14ac:dyDescent="0.3">
      <c r="B46" s="108" t="s">
        <v>50</v>
      </c>
      <c r="C46" s="108"/>
      <c r="D46" s="108"/>
      <c r="E46" s="108"/>
      <c r="F46" s="108"/>
      <c r="G46" s="108"/>
      <c r="H46" s="108"/>
      <c r="I46" s="108"/>
      <c r="J46" s="108"/>
      <c r="K46" s="108"/>
      <c r="L46" s="108"/>
      <c r="M46" s="108"/>
      <c r="N46" s="39" t="s">
        <v>55</v>
      </c>
    </row>
    <row r="47" spans="2:14" x14ac:dyDescent="0.3">
      <c r="B47" s="108" t="s">
        <v>49</v>
      </c>
      <c r="C47" s="108"/>
      <c r="D47" s="108"/>
      <c r="E47" s="108"/>
      <c r="F47" s="108"/>
      <c r="G47" s="108"/>
      <c r="H47" s="108"/>
      <c r="I47" s="108"/>
      <c r="J47" s="108"/>
      <c r="K47" s="108"/>
      <c r="L47" s="108"/>
      <c r="M47" s="108"/>
    </row>
    <row r="48" spans="2:14" x14ac:dyDescent="0.3">
      <c r="B48" s="108" t="s">
        <v>56</v>
      </c>
      <c r="C48" s="108"/>
      <c r="D48" s="108"/>
      <c r="E48" s="108"/>
      <c r="F48" s="108"/>
      <c r="G48" s="108"/>
      <c r="H48" s="108"/>
      <c r="I48" s="108"/>
      <c r="J48" s="108"/>
      <c r="K48" s="108"/>
      <c r="L48" s="108"/>
      <c r="M48" s="108"/>
    </row>
    <row r="49" spans="2:13" x14ac:dyDescent="0.3">
      <c r="B49" s="108" t="s">
        <v>190</v>
      </c>
      <c r="C49" s="108"/>
      <c r="D49" s="108"/>
      <c r="E49" s="108"/>
      <c r="F49" s="108"/>
      <c r="G49" s="108"/>
      <c r="H49" s="108"/>
      <c r="I49" s="108"/>
      <c r="J49" s="108"/>
      <c r="K49" s="108"/>
      <c r="L49" s="108"/>
      <c r="M49" s="108"/>
    </row>
    <row r="50" spans="2:13" x14ac:dyDescent="0.3">
      <c r="B50" s="109" t="s">
        <v>57</v>
      </c>
      <c r="C50" s="109"/>
      <c r="D50" s="109"/>
      <c r="E50" s="109"/>
      <c r="F50" s="109"/>
      <c r="G50" s="109"/>
      <c r="H50" s="109"/>
      <c r="I50" s="109"/>
      <c r="J50" s="109"/>
      <c r="K50" s="109"/>
      <c r="L50" s="109"/>
      <c r="M50" s="109"/>
    </row>
    <row r="51" spans="2:13" x14ac:dyDescent="0.3">
      <c r="B51" s="108" t="s">
        <v>51</v>
      </c>
      <c r="C51" s="108"/>
      <c r="D51" s="108"/>
      <c r="E51" s="108"/>
      <c r="F51" s="108"/>
      <c r="G51" s="108"/>
      <c r="H51" s="108"/>
      <c r="I51" s="108"/>
      <c r="J51" s="108"/>
      <c r="K51" s="108"/>
      <c r="L51" s="108"/>
      <c r="M51" s="108"/>
    </row>
    <row r="52" spans="2:13" x14ac:dyDescent="0.3">
      <c r="B52" s="110" t="s">
        <v>53</v>
      </c>
      <c r="C52" s="110"/>
      <c r="D52" s="110"/>
      <c r="E52" s="110"/>
      <c r="F52" s="110"/>
      <c r="G52" s="110"/>
      <c r="H52" s="110"/>
      <c r="I52" s="110"/>
      <c r="J52" s="110"/>
      <c r="K52" s="110"/>
      <c r="L52" s="110"/>
      <c r="M52" s="110"/>
    </row>
    <row r="53" spans="2:13" x14ac:dyDescent="0.3">
      <c r="B53" s="108" t="s">
        <v>52</v>
      </c>
      <c r="C53" s="108"/>
      <c r="D53" s="108"/>
      <c r="E53" s="108"/>
      <c r="F53" s="108"/>
      <c r="G53" s="108"/>
      <c r="H53" s="108"/>
      <c r="I53" s="108"/>
      <c r="J53" s="108"/>
      <c r="K53" s="108"/>
      <c r="L53" s="108"/>
      <c r="M53" s="108"/>
    </row>
    <row r="54" spans="2:13" x14ac:dyDescent="0.3">
      <c r="B54" s="108" t="s">
        <v>54</v>
      </c>
      <c r="C54" s="108"/>
      <c r="D54" s="108"/>
      <c r="E54" s="108"/>
      <c r="F54" s="108"/>
      <c r="G54" s="108"/>
      <c r="H54" s="108"/>
      <c r="I54" s="108"/>
      <c r="J54" s="108"/>
      <c r="K54" s="108"/>
      <c r="L54" s="108"/>
      <c r="M54" s="108"/>
    </row>
    <row r="55" spans="2:13" x14ac:dyDescent="0.3">
      <c r="B55" s="109" t="s">
        <v>65</v>
      </c>
      <c r="C55" s="109"/>
      <c r="D55" s="109"/>
      <c r="E55" s="109"/>
      <c r="F55" s="109"/>
      <c r="G55" s="109"/>
      <c r="H55" s="109"/>
      <c r="I55" s="109"/>
      <c r="J55" s="109"/>
      <c r="K55" s="109"/>
      <c r="L55" s="109"/>
      <c r="M55" s="109"/>
    </row>
    <row r="56" spans="2:13" x14ac:dyDescent="0.3">
      <c r="B56" s="108" t="s">
        <v>61</v>
      </c>
      <c r="C56" s="108"/>
      <c r="D56" s="108"/>
      <c r="E56" s="108"/>
      <c r="F56" s="108"/>
      <c r="G56" s="108"/>
      <c r="H56" s="108"/>
      <c r="I56" s="108"/>
      <c r="J56" s="108"/>
      <c r="K56" s="108"/>
      <c r="L56" s="108"/>
      <c r="M56" s="108"/>
    </row>
    <row r="57" spans="2:13" x14ac:dyDescent="0.3">
      <c r="B57" s="39" t="s">
        <v>62</v>
      </c>
    </row>
    <row r="58" spans="2:13" x14ac:dyDescent="0.3">
      <c r="B58" s="39" t="s">
        <v>63</v>
      </c>
    </row>
    <row r="59" spans="2:13" x14ac:dyDescent="0.3">
      <c r="B59" s="39" t="s">
        <v>64</v>
      </c>
    </row>
    <row r="60" spans="2:13" x14ac:dyDescent="0.3">
      <c r="B60" s="83" t="s">
        <v>72</v>
      </c>
    </row>
    <row r="61" spans="2:13" x14ac:dyDescent="0.3">
      <c r="B61" s="39" t="s">
        <v>73</v>
      </c>
    </row>
    <row r="62" spans="2:13" x14ac:dyDescent="0.3">
      <c r="B62" s="39" t="s">
        <v>74</v>
      </c>
    </row>
    <row r="63" spans="2:13" x14ac:dyDescent="0.3">
      <c r="B63" s="39" t="s">
        <v>75</v>
      </c>
    </row>
    <row r="64" spans="2:13" x14ac:dyDescent="0.3">
      <c r="B64" s="83" t="s">
        <v>92</v>
      </c>
    </row>
    <row r="65" spans="2:11" x14ac:dyDescent="0.3">
      <c r="B65" s="39" t="s">
        <v>76</v>
      </c>
    </row>
    <row r="66" spans="2:11" x14ac:dyDescent="0.3">
      <c r="B66" s="39" t="s">
        <v>77</v>
      </c>
    </row>
    <row r="67" spans="2:11" x14ac:dyDescent="0.3">
      <c r="B67" s="39" t="s">
        <v>93</v>
      </c>
    </row>
    <row r="69" spans="2:11" x14ac:dyDescent="0.3">
      <c r="B69" s="39" t="s">
        <v>97</v>
      </c>
      <c r="C69" s="78" t="s">
        <v>83</v>
      </c>
      <c r="D69" s="78" t="s">
        <v>84</v>
      </c>
      <c r="E69" s="78" t="s">
        <v>85</v>
      </c>
      <c r="F69" s="78" t="s">
        <v>86</v>
      </c>
      <c r="G69" s="78" t="s">
        <v>87</v>
      </c>
      <c r="H69" s="78" t="s">
        <v>88</v>
      </c>
      <c r="I69" s="78" t="s">
        <v>89</v>
      </c>
      <c r="J69" s="78" t="s">
        <v>90</v>
      </c>
      <c r="K69" s="78" t="s">
        <v>91</v>
      </c>
    </row>
    <row r="70" spans="2:11" x14ac:dyDescent="0.3">
      <c r="B70" s="39" t="s">
        <v>78</v>
      </c>
      <c r="C70" s="84">
        <v>0.35965453423812455</v>
      </c>
      <c r="D70" s="84">
        <v>0.91651542649727769</v>
      </c>
      <c r="E70" s="84">
        <v>0.19696969696969702</v>
      </c>
      <c r="F70" s="84">
        <v>0.10878164556962022</v>
      </c>
      <c r="G70" s="84">
        <v>4.2000000000000003E-2</v>
      </c>
      <c r="H70" s="84">
        <v>3.5000000000000003E-2</v>
      </c>
      <c r="I70" s="84">
        <v>2.3E-2</v>
      </c>
      <c r="J70" s="84">
        <v>1.7999999999999999E-2</v>
      </c>
      <c r="K70" s="84">
        <v>1.4999999999999999E-2</v>
      </c>
    </row>
    <row r="71" spans="2:11" x14ac:dyDescent="0.3">
      <c r="B71" s="39" t="s">
        <v>34</v>
      </c>
      <c r="C71" s="84">
        <v>9.9818511796733213E-3</v>
      </c>
      <c r="D71" s="84">
        <v>0.15980113636363635</v>
      </c>
      <c r="E71" s="84">
        <v>0.19837816455696203</v>
      </c>
      <c r="F71" s="84">
        <v>0.19978594363182306</v>
      </c>
      <c r="G71" s="84">
        <v>0.2</v>
      </c>
      <c r="H71" s="84">
        <v>0.2</v>
      </c>
      <c r="I71" s="84">
        <v>0.2</v>
      </c>
      <c r="J71" s="84">
        <v>0.2</v>
      </c>
      <c r="K71" s="84">
        <v>0.2</v>
      </c>
    </row>
    <row r="72" spans="2:11" x14ac:dyDescent="0.3">
      <c r="B72" s="39" t="s">
        <v>66</v>
      </c>
      <c r="C72" s="84">
        <v>0.11297640653357532</v>
      </c>
      <c r="D72" s="84">
        <v>5.3977272727272728E-2</v>
      </c>
      <c r="E72" s="84">
        <v>5.5181962025316458E-2</v>
      </c>
      <c r="F72" s="84">
        <v>6.0827684623617553E-2</v>
      </c>
      <c r="G72" s="84">
        <v>5.7999999999999996E-2</v>
      </c>
      <c r="H72" s="84">
        <v>5.7999999999999996E-2</v>
      </c>
      <c r="I72" s="84">
        <v>5.7999999999999996E-2</v>
      </c>
      <c r="J72" s="84">
        <v>5.7999999999999996E-2</v>
      </c>
      <c r="K72" s="84">
        <v>5.7999999999999996E-2</v>
      </c>
    </row>
    <row r="73" spans="2:11" x14ac:dyDescent="0.3">
      <c r="B73" s="39" t="s">
        <v>58</v>
      </c>
      <c r="C73" s="84">
        <v>3.6297640653357534E-2</v>
      </c>
      <c r="D73" s="84">
        <v>2.6278409090909092E-2</v>
      </c>
      <c r="E73" s="84">
        <v>5.0237341772151896E-2</v>
      </c>
      <c r="F73" s="84">
        <v>5.2265429896539421E-2</v>
      </c>
      <c r="G73" s="84">
        <v>5.0999999999999997E-2</v>
      </c>
      <c r="H73" s="84">
        <v>5.0999999999999997E-2</v>
      </c>
      <c r="I73" s="84">
        <v>5.0999999999999997E-2</v>
      </c>
      <c r="J73" s="84">
        <v>5.0999999999999997E-2</v>
      </c>
      <c r="K73" s="84">
        <v>5.0999999999999997E-2</v>
      </c>
    </row>
    <row r="74" spans="2:11" x14ac:dyDescent="0.3">
      <c r="B74" s="39" t="s">
        <v>60</v>
      </c>
      <c r="C74" s="84">
        <v>-4.5372050816696917E-3</v>
      </c>
      <c r="D74" s="84">
        <v>-4.261363636363636E-3</v>
      </c>
      <c r="E74" s="84">
        <v>-5.7357594936708863E-3</v>
      </c>
      <c r="F74" s="84">
        <v>3.2108455226542991E-3</v>
      </c>
      <c r="G74" s="84">
        <v>5.0000000000000001E-4</v>
      </c>
      <c r="H74" s="84">
        <v>5.0000000000000001E-4</v>
      </c>
      <c r="I74" s="84">
        <v>5.0000000000000001E-4</v>
      </c>
      <c r="J74" s="84">
        <v>5.0000000000000001E-4</v>
      </c>
      <c r="K74" s="84">
        <v>5.0000000000000001E-4</v>
      </c>
    </row>
    <row r="75" spans="2:11" x14ac:dyDescent="0.3">
      <c r="B75" s="39" t="s">
        <v>94</v>
      </c>
      <c r="C75" s="85">
        <v>0.25</v>
      </c>
      <c r="D75" s="85">
        <v>0.25</v>
      </c>
      <c r="E75" s="85">
        <v>0.25</v>
      </c>
      <c r="F75" s="85">
        <v>0.25</v>
      </c>
      <c r="G75" s="85">
        <v>0.25</v>
      </c>
      <c r="H75" s="85">
        <v>0.25</v>
      </c>
      <c r="I75" s="85">
        <v>0.25</v>
      </c>
      <c r="J75" s="85">
        <v>0.25</v>
      </c>
      <c r="K75" s="85">
        <v>0.25</v>
      </c>
    </row>
    <row r="78" spans="2:11" x14ac:dyDescent="0.3">
      <c r="B78" s="107" t="s">
        <v>0</v>
      </c>
      <c r="C78" s="107"/>
      <c r="D78" s="107"/>
      <c r="E78" s="107"/>
      <c r="F78" s="107"/>
      <c r="G78" s="107"/>
      <c r="H78" s="107"/>
      <c r="I78" s="107"/>
      <c r="J78" s="107"/>
      <c r="K78" s="107"/>
    </row>
    <row r="79" spans="2:11" x14ac:dyDescent="0.3">
      <c r="B79" s="39" t="s">
        <v>98</v>
      </c>
      <c r="C79" s="78" t="s">
        <v>83</v>
      </c>
      <c r="D79" s="78" t="s">
        <v>84</v>
      </c>
      <c r="E79" s="78" t="s">
        <v>85</v>
      </c>
      <c r="F79" s="78" t="s">
        <v>86</v>
      </c>
      <c r="G79" s="78" t="s">
        <v>87</v>
      </c>
      <c r="H79" s="78" t="s">
        <v>88</v>
      </c>
      <c r="I79" s="78" t="s">
        <v>89</v>
      </c>
      <c r="J79" s="78" t="s">
        <v>90</v>
      </c>
      <c r="K79" s="78" t="s">
        <v>91</v>
      </c>
    </row>
    <row r="80" spans="2:11" x14ac:dyDescent="0.3">
      <c r="B80" s="39" t="s">
        <v>67</v>
      </c>
      <c r="C80" s="86">
        <v>2204</v>
      </c>
      <c r="D80" s="86">
        <v>4224</v>
      </c>
      <c r="E80" s="86">
        <v>5056</v>
      </c>
      <c r="F80" s="86">
        <v>5606</v>
      </c>
      <c r="G80" s="86">
        <f>F80*(1+G70)</f>
        <v>5841.4520000000002</v>
      </c>
      <c r="H80" s="86">
        <f t="shared" ref="H80:K80" si="1">G80*(1+H70)</f>
        <v>6045.9028199999993</v>
      </c>
      <c r="I80" s="86">
        <f t="shared" si="1"/>
        <v>6184.9585848599991</v>
      </c>
      <c r="J80" s="86">
        <f t="shared" si="1"/>
        <v>6296.2878393874789</v>
      </c>
      <c r="K80" s="86">
        <f t="shared" si="1"/>
        <v>6390.7321569782907</v>
      </c>
    </row>
    <row r="81" spans="2:11" x14ac:dyDescent="0.3">
      <c r="B81" s="39" t="s">
        <v>80</v>
      </c>
      <c r="C81" s="86">
        <f>C71*C80</f>
        <v>22</v>
      </c>
      <c r="D81" s="86">
        <f t="shared" ref="D81:K81" si="2">D71*D80</f>
        <v>675</v>
      </c>
      <c r="E81" s="86">
        <f t="shared" si="2"/>
        <v>1003</v>
      </c>
      <c r="F81" s="86">
        <f>F71*F80</f>
        <v>1120</v>
      </c>
      <c r="G81" s="86">
        <f t="shared" si="2"/>
        <v>1168.2904000000001</v>
      </c>
      <c r="H81" s="86">
        <f t="shared" si="2"/>
        <v>1209.180564</v>
      </c>
      <c r="I81" s="86">
        <f t="shared" si="2"/>
        <v>1236.9917169719999</v>
      </c>
      <c r="J81" s="86">
        <f t="shared" si="2"/>
        <v>1259.2575678774958</v>
      </c>
      <c r="K81" s="86">
        <f t="shared" si="2"/>
        <v>1278.1464313956583</v>
      </c>
    </row>
    <row r="82" spans="2:11" x14ac:dyDescent="0.3">
      <c r="B82" s="39" t="s">
        <v>81</v>
      </c>
      <c r="C82" s="86">
        <f>C72*C80</f>
        <v>249.00000000000003</v>
      </c>
      <c r="D82" s="86">
        <f t="shared" ref="D82:K82" si="3">D72*D80</f>
        <v>228</v>
      </c>
      <c r="E82" s="86">
        <f t="shared" si="3"/>
        <v>279</v>
      </c>
      <c r="F82" s="86">
        <f t="shared" si="3"/>
        <v>341</v>
      </c>
      <c r="G82" s="86">
        <f t="shared" si="3"/>
        <v>338.804216</v>
      </c>
      <c r="H82" s="86">
        <f t="shared" si="3"/>
        <v>350.66236355999996</v>
      </c>
      <c r="I82" s="86">
        <f t="shared" si="3"/>
        <v>358.72759792187992</v>
      </c>
      <c r="J82" s="86">
        <f t="shared" si="3"/>
        <v>365.18469468447375</v>
      </c>
      <c r="K82" s="86">
        <f t="shared" si="3"/>
        <v>370.66246510474082</v>
      </c>
    </row>
    <row r="83" spans="2:11" x14ac:dyDescent="0.3">
      <c r="B83" s="39" t="s">
        <v>4</v>
      </c>
      <c r="C83" s="86">
        <f>C73*C80</f>
        <v>80</v>
      </c>
      <c r="D83" s="86">
        <f t="shared" ref="D83:J83" si="4">D73*D80</f>
        <v>111</v>
      </c>
      <c r="E83" s="86">
        <f t="shared" si="4"/>
        <v>253.99999999999997</v>
      </c>
      <c r="F83" s="86">
        <f t="shared" si="4"/>
        <v>293</v>
      </c>
      <c r="G83" s="86">
        <f t="shared" si="4"/>
        <v>297.91405199999997</v>
      </c>
      <c r="H83" s="86">
        <f t="shared" si="4"/>
        <v>308.34104381999992</v>
      </c>
      <c r="I83" s="86">
        <f t="shared" si="4"/>
        <v>315.43288782785993</v>
      </c>
      <c r="J83" s="86">
        <f t="shared" si="4"/>
        <v>321.1106798087614</v>
      </c>
      <c r="K83" s="86">
        <f>K73*K80</f>
        <v>325.9273400058928</v>
      </c>
    </row>
    <row r="84" spans="2:11" x14ac:dyDescent="0.3">
      <c r="B84" s="39" t="s">
        <v>35</v>
      </c>
      <c r="C84" s="86">
        <f>C74*C80</f>
        <v>-10</v>
      </c>
      <c r="D84" s="86">
        <f>D74*D80</f>
        <v>-18</v>
      </c>
      <c r="E84" s="86">
        <f t="shared" ref="E84:K84" si="5">E74*E80</f>
        <v>-29</v>
      </c>
      <c r="F84" s="86">
        <f t="shared" si="5"/>
        <v>18</v>
      </c>
      <c r="G84" s="86">
        <f t="shared" si="5"/>
        <v>2.9207260000000002</v>
      </c>
      <c r="H84" s="86">
        <f t="shared" si="5"/>
        <v>3.0229514099999997</v>
      </c>
      <c r="I84" s="86">
        <f>I74*I80</f>
        <v>3.0924792924299997</v>
      </c>
      <c r="J84" s="86">
        <f t="shared" si="5"/>
        <v>3.1481439196937395</v>
      </c>
      <c r="K84" s="86">
        <f t="shared" si="5"/>
        <v>3.1953660784891453</v>
      </c>
    </row>
    <row r="85" spans="2:11" x14ac:dyDescent="0.3">
      <c r="B85" s="39" t="s">
        <v>95</v>
      </c>
      <c r="C85" s="57">
        <f>C81-C82</f>
        <v>-227.00000000000003</v>
      </c>
      <c r="D85" s="57">
        <f>D81-D82</f>
        <v>447</v>
      </c>
      <c r="E85" s="57">
        <f>E81-E82</f>
        <v>724</v>
      </c>
      <c r="F85" s="57">
        <f>F81-F82</f>
        <v>779</v>
      </c>
      <c r="G85" s="57">
        <f t="shared" ref="G85:K85" si="6">G81-G82</f>
        <v>829.48618400000009</v>
      </c>
      <c r="H85" s="57">
        <f t="shared" si="6"/>
        <v>858.5182004400001</v>
      </c>
      <c r="I85" s="57">
        <f t="shared" si="6"/>
        <v>878.26411905012003</v>
      </c>
      <c r="J85" s="57">
        <f t="shared" si="6"/>
        <v>894.07287319302213</v>
      </c>
      <c r="K85" s="57">
        <f t="shared" si="6"/>
        <v>907.48396629091746</v>
      </c>
    </row>
    <row r="86" spans="2:11" x14ac:dyDescent="0.3">
      <c r="B86" s="39" t="s">
        <v>96</v>
      </c>
      <c r="C86" s="57">
        <f>C85*(1-C75) +C82-C83-C84</f>
        <v>8.75</v>
      </c>
      <c r="D86" s="57">
        <f t="shared" ref="D86:K86" si="7">D85*(1-D75) +D82-D83-D84</f>
        <v>470.25</v>
      </c>
      <c r="E86" s="57">
        <f t="shared" si="7"/>
        <v>597</v>
      </c>
      <c r="F86" s="57">
        <f t="shared" si="7"/>
        <v>614.25</v>
      </c>
      <c r="G86" s="57">
        <f t="shared" si="7"/>
        <v>660.0840760000001</v>
      </c>
      <c r="H86" s="57">
        <f t="shared" si="7"/>
        <v>683.18701866000004</v>
      </c>
      <c r="I86" s="57">
        <f t="shared" si="7"/>
        <v>698.90032008918001</v>
      </c>
      <c r="J86" s="57">
        <f t="shared" si="7"/>
        <v>711.48052585078506</v>
      </c>
      <c r="K86" s="57">
        <f t="shared" si="7"/>
        <v>722.152733738547</v>
      </c>
    </row>
    <row r="88" spans="2:11" x14ac:dyDescent="0.3">
      <c r="B88" s="78" t="s">
        <v>102</v>
      </c>
      <c r="C88" s="57"/>
      <c r="D88" s="57"/>
      <c r="E88" s="57"/>
      <c r="F88" s="57"/>
    </row>
    <row r="89" spans="2:11" x14ac:dyDescent="0.3">
      <c r="B89" s="39" t="s">
        <v>101</v>
      </c>
    </row>
    <row r="90" spans="2:11" x14ac:dyDescent="0.3">
      <c r="B90" s="39" t="s">
        <v>103</v>
      </c>
    </row>
    <row r="91" spans="2:11" x14ac:dyDescent="0.3">
      <c r="B91" s="39" t="s">
        <v>104</v>
      </c>
    </row>
    <row r="92" spans="2:11" x14ac:dyDescent="0.3">
      <c r="B92" s="39" t="s">
        <v>105</v>
      </c>
    </row>
    <row r="93" spans="2:11" x14ac:dyDescent="0.3">
      <c r="B93" s="39" t="s">
        <v>106</v>
      </c>
    </row>
  </sheetData>
  <mergeCells count="20">
    <mergeCell ref="B44:M44"/>
    <mergeCell ref="B43:M43"/>
    <mergeCell ref="B4:G4"/>
    <mergeCell ref="B2:G2"/>
    <mergeCell ref="B15:G15"/>
    <mergeCell ref="B78:K78"/>
    <mergeCell ref="B53:M53"/>
    <mergeCell ref="B54:M54"/>
    <mergeCell ref="B55:M55"/>
    <mergeCell ref="B56:M56"/>
    <mergeCell ref="B34:G34"/>
    <mergeCell ref="B24:G24"/>
    <mergeCell ref="B47:M47"/>
    <mergeCell ref="B48:M48"/>
    <mergeCell ref="B49:M49"/>
    <mergeCell ref="B50:M50"/>
    <mergeCell ref="B51:M51"/>
    <mergeCell ref="B52:M52"/>
    <mergeCell ref="B46:M46"/>
    <mergeCell ref="B45:M45"/>
  </mergeCells>
  <pageMargins left="0.7" right="0.7" top="0.75" bottom="0.75" header="0.3" footer="0.3"/>
  <tableParts count="5">
    <tablePart r:id="rId1"/>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A8E38-8AB4-4813-ACBC-E357D1E802F1}">
  <dimension ref="A3:H61"/>
  <sheetViews>
    <sheetView zoomScale="70" zoomScaleNormal="70" workbookViewId="0">
      <selection activeCell="G38" sqref="G38"/>
    </sheetView>
  </sheetViews>
  <sheetFormatPr baseColWidth="10" defaultRowHeight="14.4" x14ac:dyDescent="0.3"/>
  <cols>
    <col min="2" max="2" width="39.109375" bestFit="1" customWidth="1"/>
    <col min="3" max="3" width="21.6640625" bestFit="1" customWidth="1"/>
    <col min="4" max="4" width="14.21875" customWidth="1"/>
    <col min="5" max="5" width="14.77734375" customWidth="1"/>
    <col min="6" max="6" width="13.33203125" customWidth="1"/>
    <col min="7" max="7" width="14.77734375" customWidth="1"/>
    <col min="8" max="8" width="17.21875" customWidth="1"/>
  </cols>
  <sheetData>
    <row r="3" spans="2:7" ht="15" thickBot="1" x14ac:dyDescent="0.35"/>
    <row r="4" spans="2:7" ht="15" thickBot="1" x14ac:dyDescent="0.35">
      <c r="B4" s="118" t="s">
        <v>115</v>
      </c>
      <c r="C4" s="119"/>
    </row>
    <row r="5" spans="2:7" x14ac:dyDescent="0.3">
      <c r="B5" s="58"/>
      <c r="C5" s="59" t="s">
        <v>110</v>
      </c>
    </row>
    <row r="6" spans="2:7" x14ac:dyDescent="0.3">
      <c r="B6" s="60" t="s">
        <v>144</v>
      </c>
      <c r="C6" s="61">
        <v>5.0099999999999999E-2</v>
      </c>
    </row>
    <row r="7" spans="2:7" x14ac:dyDescent="0.3">
      <c r="B7" s="60" t="s">
        <v>107</v>
      </c>
      <c r="C7" s="62">
        <v>0.76</v>
      </c>
    </row>
    <row r="8" spans="2:7" x14ac:dyDescent="0.3">
      <c r="B8" s="60" t="s">
        <v>113</v>
      </c>
      <c r="C8" s="61">
        <v>3.5000000000000003E-2</v>
      </c>
    </row>
    <row r="9" spans="2:7" ht="15" thickBot="1" x14ac:dyDescent="0.35">
      <c r="B9" s="63" t="s">
        <v>128</v>
      </c>
      <c r="C9" s="64">
        <f>C8+C7*C6</f>
        <v>7.3076000000000002E-2</v>
      </c>
    </row>
    <row r="10" spans="2:7" x14ac:dyDescent="0.3">
      <c r="C10" s="65"/>
    </row>
    <row r="11" spans="2:7" ht="15" thickBot="1" x14ac:dyDescent="0.35">
      <c r="C11" s="65"/>
    </row>
    <row r="12" spans="2:7" ht="15" thickBot="1" x14ac:dyDescent="0.35">
      <c r="B12" s="113" t="s">
        <v>114</v>
      </c>
      <c r="C12" s="114"/>
      <c r="D12" s="114"/>
      <c r="E12" s="114"/>
      <c r="F12" s="114"/>
      <c r="G12" s="115"/>
    </row>
    <row r="13" spans="2:7" x14ac:dyDescent="0.3">
      <c r="B13" s="58"/>
      <c r="C13" s="29">
        <v>2020</v>
      </c>
      <c r="D13" s="29">
        <v>2021</v>
      </c>
      <c r="E13" s="29">
        <v>2022</v>
      </c>
      <c r="F13" s="29">
        <v>2023</v>
      </c>
      <c r="G13" s="30">
        <v>2024</v>
      </c>
    </row>
    <row r="14" spans="2:7" x14ac:dyDescent="0.3">
      <c r="B14" s="60" t="s">
        <v>7</v>
      </c>
      <c r="C14" s="66">
        <v>3442</v>
      </c>
      <c r="D14" s="66">
        <v>3202</v>
      </c>
      <c r="E14" s="66">
        <v>2869</v>
      </c>
      <c r="F14" s="66">
        <v>2623</v>
      </c>
      <c r="G14" s="62">
        <v>3002</v>
      </c>
    </row>
    <row r="15" spans="2:7" x14ac:dyDescent="0.3">
      <c r="B15" s="60" t="s">
        <v>126</v>
      </c>
      <c r="C15" s="66"/>
      <c r="D15" s="66">
        <f>(D14+C14)/2</f>
        <v>3322</v>
      </c>
      <c r="E15" s="66">
        <f t="shared" ref="E15:G15" si="0">(E14+D14)/2</f>
        <v>3035.5</v>
      </c>
      <c r="F15" s="66">
        <f t="shared" si="0"/>
        <v>2746</v>
      </c>
      <c r="G15" s="62">
        <f t="shared" si="0"/>
        <v>2812.5</v>
      </c>
    </row>
    <row r="16" spans="2:7" x14ac:dyDescent="0.3">
      <c r="B16" s="60" t="s">
        <v>118</v>
      </c>
      <c r="C16" s="66"/>
      <c r="D16" s="12">
        <v>-83</v>
      </c>
      <c r="E16" s="12">
        <v>-85</v>
      </c>
      <c r="F16" s="12">
        <v>-94</v>
      </c>
      <c r="G16" s="14">
        <v>-97</v>
      </c>
    </row>
    <row r="17" spans="2:7" x14ac:dyDescent="0.3">
      <c r="B17" s="60" t="s">
        <v>130</v>
      </c>
      <c r="C17" s="66"/>
      <c r="D17" s="67">
        <v>0.02</v>
      </c>
      <c r="E17" s="68">
        <v>2.1000000000000001E-2</v>
      </c>
      <c r="F17" s="68">
        <v>2.9000000000000001E-2</v>
      </c>
      <c r="G17" s="61">
        <v>2.53E-2</v>
      </c>
    </row>
    <row r="18" spans="2:7" ht="15" thickBot="1" x14ac:dyDescent="0.35">
      <c r="B18" s="63" t="s">
        <v>127</v>
      </c>
      <c r="C18" s="69"/>
      <c r="D18" s="17">
        <f>-D16/D15</f>
        <v>2.4984948826008428E-2</v>
      </c>
      <c r="E18" s="17">
        <f t="shared" ref="E18:G18" si="1">-E16/E15</f>
        <v>2.8001976610113655E-2</v>
      </c>
      <c r="F18" s="17">
        <f t="shared" si="1"/>
        <v>3.4231609613983978E-2</v>
      </c>
      <c r="G18" s="18">
        <f t="shared" si="1"/>
        <v>3.4488888888888888E-2</v>
      </c>
    </row>
    <row r="19" spans="2:7" x14ac:dyDescent="0.3">
      <c r="B19" t="s">
        <v>129</v>
      </c>
    </row>
    <row r="20" spans="2:7" x14ac:dyDescent="0.3">
      <c r="B20" t="s">
        <v>131</v>
      </c>
    </row>
    <row r="21" spans="2:7" x14ac:dyDescent="0.3">
      <c r="B21" t="s">
        <v>134</v>
      </c>
    </row>
    <row r="22" spans="2:7" x14ac:dyDescent="0.3">
      <c r="B22" t="s">
        <v>133</v>
      </c>
    </row>
    <row r="23" spans="2:7" x14ac:dyDescent="0.3">
      <c r="B23" t="s">
        <v>132</v>
      </c>
    </row>
    <row r="24" spans="2:7" x14ac:dyDescent="0.3">
      <c r="B24" t="s">
        <v>135</v>
      </c>
    </row>
    <row r="25" spans="2:7" x14ac:dyDescent="0.3">
      <c r="C25" s="6"/>
    </row>
    <row r="26" spans="2:7" x14ac:dyDescent="0.3">
      <c r="B26" s="66" t="s">
        <v>114</v>
      </c>
      <c r="C26" s="68">
        <v>4.4999999999999998E-2</v>
      </c>
    </row>
    <row r="28" spans="2:7" ht="15" thickBot="1" x14ac:dyDescent="0.35"/>
    <row r="29" spans="2:7" ht="15" thickBot="1" x14ac:dyDescent="0.35">
      <c r="B29" s="118" t="s">
        <v>136</v>
      </c>
      <c r="C29" s="119"/>
    </row>
    <row r="30" spans="2:7" x14ac:dyDescent="0.3">
      <c r="B30" s="58" t="s">
        <v>157</v>
      </c>
      <c r="C30" s="16">
        <v>1758</v>
      </c>
    </row>
    <row r="31" spans="2:7" x14ac:dyDescent="0.3">
      <c r="B31" s="60" t="s">
        <v>137</v>
      </c>
      <c r="C31" s="14">
        <v>5469</v>
      </c>
    </row>
    <row r="32" spans="2:7" x14ac:dyDescent="0.3">
      <c r="B32" s="60" t="s">
        <v>139</v>
      </c>
      <c r="C32" s="14">
        <f>C30+C31</f>
        <v>7227</v>
      </c>
    </row>
    <row r="33" spans="2:8" x14ac:dyDescent="0.3">
      <c r="B33" s="60" t="s">
        <v>140</v>
      </c>
      <c r="C33" s="15">
        <f>C30/C32</f>
        <v>0.24325446243254462</v>
      </c>
    </row>
    <row r="34" spans="2:8" ht="15" thickBot="1" x14ac:dyDescent="0.35">
      <c r="B34" s="63" t="s">
        <v>141</v>
      </c>
      <c r="C34" s="70">
        <f>1-C33</f>
        <v>0.75674553756745544</v>
      </c>
    </row>
    <row r="35" spans="2:8" ht="15" thickBot="1" x14ac:dyDescent="0.35"/>
    <row r="36" spans="2:8" x14ac:dyDescent="0.3">
      <c r="B36" s="120" t="s">
        <v>143</v>
      </c>
      <c r="C36" s="121"/>
      <c r="E36" s="122" t="s">
        <v>151</v>
      </c>
      <c r="F36" s="123"/>
      <c r="G36" s="124"/>
    </row>
    <row r="37" spans="2:8" ht="15" thickBot="1" x14ac:dyDescent="0.35">
      <c r="B37" s="66" t="s">
        <v>142</v>
      </c>
      <c r="C37" s="13">
        <f>C34*C9+C26*C33*0.75</f>
        <v>6.3509775010377759E-2</v>
      </c>
      <c r="E37" s="71"/>
      <c r="F37" s="38">
        <v>1.4999999999999999E-2</v>
      </c>
      <c r="G37" s="72"/>
    </row>
    <row r="38" spans="2:8" ht="15" thickBot="1" x14ac:dyDescent="0.35"/>
    <row r="39" spans="2:8" ht="15" thickBot="1" x14ac:dyDescent="0.35">
      <c r="B39" s="113" t="s">
        <v>145</v>
      </c>
      <c r="C39" s="114"/>
      <c r="D39" s="114"/>
      <c r="E39" s="114"/>
      <c r="F39" s="114"/>
      <c r="G39" s="114"/>
      <c r="H39" s="115"/>
    </row>
    <row r="40" spans="2:8" x14ac:dyDescent="0.3">
      <c r="B40" s="19" t="s">
        <v>82</v>
      </c>
      <c r="C40" s="22" t="s">
        <v>87</v>
      </c>
      <c r="D40" s="22" t="s">
        <v>88</v>
      </c>
      <c r="E40" s="22" t="s">
        <v>89</v>
      </c>
      <c r="F40" s="22" t="s">
        <v>90</v>
      </c>
      <c r="G40" s="22" t="s">
        <v>91</v>
      </c>
      <c r="H40" s="23" t="s">
        <v>149</v>
      </c>
    </row>
    <row r="41" spans="2:8" x14ac:dyDescent="0.3">
      <c r="B41" s="20" t="s">
        <v>96</v>
      </c>
      <c r="C41" s="24">
        <v>660.0840760000001</v>
      </c>
      <c r="D41" s="24">
        <v>683.18701866000004</v>
      </c>
      <c r="E41" s="24">
        <v>698.90032008918001</v>
      </c>
      <c r="F41" s="24">
        <v>711.48052585078506</v>
      </c>
      <c r="G41" s="24">
        <v>722.152733738547</v>
      </c>
      <c r="H41" s="25"/>
    </row>
    <row r="42" spans="2:8" x14ac:dyDescent="0.3">
      <c r="B42" s="20" t="s">
        <v>147</v>
      </c>
      <c r="C42" s="24"/>
      <c r="D42" s="24"/>
      <c r="E42" s="24"/>
      <c r="F42" s="24"/>
      <c r="G42" s="24"/>
      <c r="H42" s="25">
        <f>(G41*(1+F37))/(C37-F37)</f>
        <v>15110.047914834004</v>
      </c>
    </row>
    <row r="43" spans="2:8" x14ac:dyDescent="0.3">
      <c r="B43" s="20" t="s">
        <v>146</v>
      </c>
      <c r="C43" s="24">
        <f>C41/((1+C37)^1)</f>
        <v>620.66573482463673</v>
      </c>
      <c r="D43" s="24">
        <f>D41/((1+C37)^2)</f>
        <v>604.02739179076241</v>
      </c>
      <c r="E43" s="24">
        <f>E41/((1+C37)^3)</f>
        <v>581.01959786492819</v>
      </c>
      <c r="F43" s="24">
        <f>F41/((1+C37)^4)</f>
        <v>556.15657187610259</v>
      </c>
      <c r="G43" s="24">
        <f>G41/((1+C37)^5)</f>
        <v>530.78865255256903</v>
      </c>
      <c r="H43" s="31">
        <f>H42/((1+C37)^5)</f>
        <v>11106.018987422678</v>
      </c>
    </row>
    <row r="44" spans="2:8" ht="15" thickBot="1" x14ac:dyDescent="0.35">
      <c r="B44" s="21" t="s">
        <v>148</v>
      </c>
      <c r="C44" s="26">
        <f>SUM(C43:H43)</f>
        <v>13998.676936331678</v>
      </c>
      <c r="D44" s="27"/>
      <c r="E44" s="27"/>
      <c r="F44" s="27"/>
      <c r="G44" s="27"/>
      <c r="H44" s="28"/>
    </row>
    <row r="46" spans="2:8" ht="15" thickBot="1" x14ac:dyDescent="0.35"/>
    <row r="47" spans="2:8" ht="15" thickBot="1" x14ac:dyDescent="0.35">
      <c r="B47" s="113" t="s">
        <v>150</v>
      </c>
      <c r="C47" s="114"/>
      <c r="D47" s="114"/>
      <c r="E47" s="115"/>
    </row>
    <row r="48" spans="2:8" x14ac:dyDescent="0.3">
      <c r="B48" s="35" t="s">
        <v>158</v>
      </c>
      <c r="C48" s="11">
        <v>2495</v>
      </c>
      <c r="D48" t="s">
        <v>152</v>
      </c>
      <c r="E48" s="36"/>
    </row>
    <row r="49" spans="1:7" x14ac:dyDescent="0.3">
      <c r="B49" s="35" t="s">
        <v>150</v>
      </c>
      <c r="C49" s="11">
        <f>(C44-C48) * 1000000</f>
        <v>11503676936.331678</v>
      </c>
      <c r="E49" s="36"/>
    </row>
    <row r="50" spans="1:7" x14ac:dyDescent="0.3">
      <c r="B50" s="35" t="s">
        <v>186</v>
      </c>
      <c r="C50" s="11">
        <v>243667720</v>
      </c>
      <c r="D50" t="s">
        <v>153</v>
      </c>
      <c r="E50" s="36"/>
    </row>
    <row r="51" spans="1:7" ht="15" thickBot="1" x14ac:dyDescent="0.35">
      <c r="B51" s="73" t="s">
        <v>154</v>
      </c>
      <c r="C51" s="32">
        <f>C49/C50</f>
        <v>47.210508377275737</v>
      </c>
      <c r="D51" s="74"/>
      <c r="E51" s="37"/>
    </row>
    <row r="53" spans="1:7" ht="15" thickBot="1" x14ac:dyDescent="0.35"/>
    <row r="54" spans="1:7" ht="15" thickBot="1" x14ac:dyDescent="0.35">
      <c r="A54" s="113" t="s">
        <v>155</v>
      </c>
      <c r="B54" s="114"/>
      <c r="C54" s="114"/>
      <c r="D54" s="114"/>
      <c r="E54" s="114"/>
      <c r="F54" s="114"/>
      <c r="G54" s="115"/>
    </row>
    <row r="55" spans="1:7" x14ac:dyDescent="0.3">
      <c r="A55" s="35"/>
      <c r="B55" s="33"/>
      <c r="C55" s="116" t="s">
        <v>156</v>
      </c>
      <c r="D55" s="116"/>
      <c r="E55" s="116"/>
      <c r="F55" s="116"/>
      <c r="G55" s="117"/>
    </row>
    <row r="56" spans="1:7" x14ac:dyDescent="0.3">
      <c r="A56" s="35"/>
      <c r="B56" s="8">
        <f>C51</f>
        <v>47.210508377275737</v>
      </c>
      <c r="C56" s="6">
        <v>0.01</v>
      </c>
      <c r="D56" s="6">
        <v>1.4999999999999999E-2</v>
      </c>
      <c r="E56" s="6">
        <v>0.02</v>
      </c>
      <c r="F56" s="6">
        <v>2.5000000000000001E-2</v>
      </c>
      <c r="G56" s="75">
        <v>0.03</v>
      </c>
    </row>
    <row r="57" spans="1:7" x14ac:dyDescent="0.3">
      <c r="A57" s="111" t="s">
        <v>143</v>
      </c>
      <c r="B57" s="76">
        <v>5.6500000000000002E-2</v>
      </c>
      <c r="C57">
        <f t="dataTable" ref="C57:G61" dt2D="1" dtr="1" r1="F37" r2="C37"/>
        <v>50.768915657675102</v>
      </c>
      <c r="D57">
        <v>56.932339147285163</v>
      </c>
      <c r="E57">
        <v>64.784371812130885</v>
      </c>
      <c r="F57">
        <v>75.129113259467303</v>
      </c>
      <c r="G57" s="36">
        <v>89.377530724666542</v>
      </c>
    </row>
    <row r="58" spans="1:7" x14ac:dyDescent="0.3">
      <c r="A58" s="111"/>
      <c r="B58" s="76">
        <v>0.06</v>
      </c>
      <c r="C58">
        <v>46.482875648365521</v>
      </c>
      <c r="D58">
        <v>51.699566314785393</v>
      </c>
      <c r="E58">
        <v>58.220429647810278</v>
      </c>
      <c r="F58">
        <v>66.604396790270812</v>
      </c>
      <c r="G58" s="36">
        <v>77.783019646884853</v>
      </c>
    </row>
    <row r="59" spans="1:7" x14ac:dyDescent="0.3">
      <c r="A59" s="111"/>
      <c r="B59" s="76">
        <v>6.3509999999999997E-2</v>
      </c>
      <c r="C59">
        <v>42.747841123405244</v>
      </c>
      <c r="D59">
        <v>47.210241435803063</v>
      </c>
      <c r="E59">
        <v>52.698245129583981</v>
      </c>
      <c r="F59">
        <v>59.611334176203336</v>
      </c>
      <c r="G59" s="36">
        <v>68.587416074693607</v>
      </c>
    </row>
    <row r="60" spans="1:7" x14ac:dyDescent="0.3">
      <c r="A60" s="111"/>
      <c r="B60" s="76">
        <v>6.7000000000000004E-2</v>
      </c>
      <c r="C60">
        <v>39.490311076164836</v>
      </c>
      <c r="D60">
        <v>43.347449165689405</v>
      </c>
      <c r="E60">
        <v>48.025254933836237</v>
      </c>
      <c r="F60">
        <v>53.816823980113256</v>
      </c>
      <c r="G60" s="36">
        <v>61.173681957816498</v>
      </c>
    </row>
    <row r="61" spans="1:7" ht="15" thickBot="1" x14ac:dyDescent="0.35">
      <c r="A61" s="112"/>
      <c r="B61" s="77">
        <v>7.0499999999999993E-2</v>
      </c>
      <c r="C61" s="74">
        <v>36.601028335474652</v>
      </c>
      <c r="D61" s="74">
        <v>39.961544742100898</v>
      </c>
      <c r="E61" s="74">
        <v>43.987509942118471</v>
      </c>
      <c r="F61" s="74">
        <v>48.898302658623429</v>
      </c>
      <c r="G61" s="37">
        <v>55.021636786611083</v>
      </c>
    </row>
  </sheetData>
  <mergeCells count="10">
    <mergeCell ref="A57:A61"/>
    <mergeCell ref="B47:E47"/>
    <mergeCell ref="A54:G54"/>
    <mergeCell ref="C55:G55"/>
    <mergeCell ref="B4:C4"/>
    <mergeCell ref="B29:C29"/>
    <mergeCell ref="B36:C36"/>
    <mergeCell ref="B12:G12"/>
    <mergeCell ref="B39:H39"/>
    <mergeCell ref="E36:G36"/>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0FDCA-C050-480F-A431-B7048BA38BA7}">
  <dimension ref="A2:L33"/>
  <sheetViews>
    <sheetView zoomScale="80" zoomScaleNormal="80" workbookViewId="0">
      <selection activeCell="C29" sqref="C29"/>
    </sheetView>
  </sheetViews>
  <sheetFormatPr baseColWidth="10" defaultRowHeight="14.4" x14ac:dyDescent="0.3"/>
  <cols>
    <col min="1" max="1" width="11.5546875" style="39"/>
    <col min="2" max="2" width="25.77734375" style="39" bestFit="1" customWidth="1"/>
    <col min="3" max="3" width="17.44140625" style="39" bestFit="1" customWidth="1"/>
    <col min="4" max="4" width="12.5546875" style="39" customWidth="1"/>
    <col min="5" max="5" width="11.5546875" style="39"/>
    <col min="6" max="6" width="16.6640625" style="39" bestFit="1" customWidth="1"/>
    <col min="7" max="7" width="25" style="39" customWidth="1"/>
    <col min="8" max="8" width="17.109375" style="39" bestFit="1" customWidth="1"/>
    <col min="9" max="9" width="14.77734375" style="39" bestFit="1" customWidth="1"/>
    <col min="10" max="10" width="11.5546875" style="39"/>
    <col min="11" max="11" width="26.77734375" style="39" bestFit="1" customWidth="1"/>
    <col min="12" max="16384" width="11.5546875" style="39"/>
  </cols>
  <sheetData>
    <row r="2" spans="1:12" x14ac:dyDescent="0.3">
      <c r="B2" s="40" t="s">
        <v>177</v>
      </c>
    </row>
    <row r="3" spans="1:12" x14ac:dyDescent="0.3">
      <c r="A3" s="39" t="s">
        <v>82</v>
      </c>
      <c r="B3" s="39" t="s">
        <v>159</v>
      </c>
      <c r="C3" s="39" t="s">
        <v>161</v>
      </c>
      <c r="D3" s="39" t="s">
        <v>168</v>
      </c>
      <c r="E3" s="39" t="s">
        <v>166</v>
      </c>
      <c r="F3" s="39" t="s">
        <v>165</v>
      </c>
      <c r="G3" s="39" t="s">
        <v>80</v>
      </c>
      <c r="H3" s="39" t="s">
        <v>164</v>
      </c>
      <c r="I3" s="39" t="s">
        <v>170</v>
      </c>
    </row>
    <row r="4" spans="1:12" x14ac:dyDescent="0.3">
      <c r="A4" s="39">
        <v>1</v>
      </c>
      <c r="B4" s="41" t="s">
        <v>200</v>
      </c>
      <c r="C4" s="42" t="s">
        <v>199</v>
      </c>
      <c r="D4" s="96">
        <v>11760</v>
      </c>
      <c r="E4" s="88">
        <v>16920</v>
      </c>
      <c r="F4" s="96">
        <v>9.8800000000000008</v>
      </c>
      <c r="G4" s="88">
        <f>E4/F4</f>
        <v>1712.5506072874493</v>
      </c>
      <c r="H4" s="88">
        <f>E4-D4</f>
        <v>5160</v>
      </c>
      <c r="I4" s="39" t="s">
        <v>169</v>
      </c>
      <c r="K4" s="39" t="s">
        <v>171</v>
      </c>
      <c r="L4" s="45" t="s">
        <v>201</v>
      </c>
    </row>
    <row r="5" spans="1:12" x14ac:dyDescent="0.3">
      <c r="A5" s="39">
        <v>2</v>
      </c>
      <c r="B5" s="39" t="s">
        <v>202</v>
      </c>
      <c r="C5" s="41" t="s">
        <v>203</v>
      </c>
      <c r="D5" s="88">
        <v>18580</v>
      </c>
      <c r="E5" s="88">
        <v>58620</v>
      </c>
      <c r="F5" s="88">
        <v>13.28</v>
      </c>
      <c r="G5" s="88">
        <f t="shared" ref="G5:G6" si="0">E5/F5</f>
        <v>4414.1566265060246</v>
      </c>
      <c r="H5" s="88">
        <f t="shared" ref="H5:H7" si="1">E5-D5</f>
        <v>40040</v>
      </c>
      <c r="I5" s="39" t="s">
        <v>169</v>
      </c>
      <c r="K5" s="39" t="s">
        <v>205</v>
      </c>
      <c r="L5" s="10" t="s">
        <v>204</v>
      </c>
    </row>
    <row r="6" spans="1:12" x14ac:dyDescent="0.3">
      <c r="A6" s="39">
        <v>3</v>
      </c>
      <c r="B6" s="39" t="s">
        <v>160</v>
      </c>
      <c r="C6" s="39" t="s">
        <v>162</v>
      </c>
      <c r="D6" s="88">
        <v>13880</v>
      </c>
      <c r="E6" s="88">
        <v>19300</v>
      </c>
      <c r="F6" s="88">
        <v>15.5</v>
      </c>
      <c r="G6" s="88">
        <f t="shared" si="0"/>
        <v>1245.1612903225807</v>
      </c>
      <c r="H6" s="88">
        <f t="shared" si="1"/>
        <v>5420</v>
      </c>
      <c r="I6" s="39" t="s">
        <v>169</v>
      </c>
      <c r="K6" s="39" t="s">
        <v>171</v>
      </c>
      <c r="L6" s="10" t="s">
        <v>175</v>
      </c>
    </row>
    <row r="7" spans="1:12" x14ac:dyDescent="0.3">
      <c r="A7" s="39">
        <v>4</v>
      </c>
      <c r="B7" s="41" t="s">
        <v>172</v>
      </c>
      <c r="C7" s="41" t="s">
        <v>173</v>
      </c>
      <c r="D7" s="88">
        <v>5640</v>
      </c>
      <c r="E7" s="88">
        <v>10360</v>
      </c>
      <c r="F7" s="88">
        <v>10.83</v>
      </c>
      <c r="G7" s="88">
        <f>E7/F7</f>
        <v>956.60203139427517</v>
      </c>
      <c r="H7" s="88">
        <f t="shared" si="1"/>
        <v>4720</v>
      </c>
      <c r="I7" s="39" t="s">
        <v>169</v>
      </c>
      <c r="K7" s="39" t="s">
        <v>176</v>
      </c>
      <c r="L7" s="10" t="s">
        <v>174</v>
      </c>
    </row>
    <row r="8" spans="1:12" x14ac:dyDescent="0.3">
      <c r="A8" s="39">
        <v>5</v>
      </c>
      <c r="B8" s="41" t="s">
        <v>191</v>
      </c>
      <c r="C8" s="41" t="s">
        <v>192</v>
      </c>
      <c r="D8" s="88">
        <v>4390</v>
      </c>
      <c r="E8" s="88">
        <v>6880</v>
      </c>
      <c r="F8" s="88">
        <v>12.15</v>
      </c>
      <c r="G8" s="88">
        <f>E8/F8</f>
        <v>566.25514403292175</v>
      </c>
      <c r="H8" s="88">
        <f>E8-D8</f>
        <v>2490</v>
      </c>
      <c r="I8" s="39" t="s">
        <v>169</v>
      </c>
      <c r="K8" s="39" t="s">
        <v>171</v>
      </c>
      <c r="L8" s="45" t="s">
        <v>193</v>
      </c>
    </row>
    <row r="9" spans="1:12" x14ac:dyDescent="0.3">
      <c r="A9" s="39">
        <v>6</v>
      </c>
      <c r="B9" s="41" t="s">
        <v>194</v>
      </c>
      <c r="C9" s="41" t="s">
        <v>163</v>
      </c>
      <c r="D9" s="88">
        <v>6200</v>
      </c>
      <c r="E9" s="88">
        <v>8730</v>
      </c>
      <c r="F9" s="88">
        <v>13.81</v>
      </c>
      <c r="G9" s="88">
        <f>E9/F9</f>
        <v>632.15061549601739</v>
      </c>
      <c r="H9" s="88">
        <f>E9-D9</f>
        <v>2530</v>
      </c>
      <c r="I9" s="39" t="s">
        <v>169</v>
      </c>
      <c r="K9" s="39" t="s">
        <v>171</v>
      </c>
      <c r="L9" s="10" t="s">
        <v>195</v>
      </c>
    </row>
    <row r="10" spans="1:12" x14ac:dyDescent="0.3">
      <c r="A10" s="39">
        <v>7</v>
      </c>
      <c r="B10" s="41" t="s">
        <v>197</v>
      </c>
      <c r="C10" s="41" t="s">
        <v>198</v>
      </c>
      <c r="D10" s="88">
        <v>12030</v>
      </c>
      <c r="E10" s="88">
        <v>15580</v>
      </c>
      <c r="F10" s="88">
        <v>15.08</v>
      </c>
      <c r="G10" s="88">
        <f>E10/F10</f>
        <v>1033.1564986737401</v>
      </c>
      <c r="H10" s="88">
        <f>E10-D10</f>
        <v>3550</v>
      </c>
      <c r="I10" s="39" t="s">
        <v>169</v>
      </c>
      <c r="K10" s="39" t="s">
        <v>171</v>
      </c>
      <c r="L10" s="10" t="s">
        <v>196</v>
      </c>
    </row>
    <row r="11" spans="1:12" x14ac:dyDescent="0.3">
      <c r="B11" s="41"/>
      <c r="C11" s="41"/>
      <c r="H11" s="44"/>
    </row>
    <row r="13" spans="1:12" x14ac:dyDescent="0.3">
      <c r="B13" s="39" t="s">
        <v>179</v>
      </c>
      <c r="C13" s="39">
        <v>0.85</v>
      </c>
    </row>
    <row r="15" spans="1:12" x14ac:dyDescent="0.3">
      <c r="B15" s="40" t="s">
        <v>178</v>
      </c>
    </row>
    <row r="16" spans="1:12" x14ac:dyDescent="0.3">
      <c r="A16" s="39" t="s">
        <v>82</v>
      </c>
      <c r="B16" s="39" t="s">
        <v>159</v>
      </c>
      <c r="C16" s="39" t="s">
        <v>161</v>
      </c>
      <c r="D16" s="39" t="s">
        <v>168</v>
      </c>
      <c r="E16" s="39" t="s">
        <v>166</v>
      </c>
      <c r="F16" s="39" t="s">
        <v>165</v>
      </c>
      <c r="G16" s="39" t="s">
        <v>80</v>
      </c>
      <c r="H16" s="39" t="s">
        <v>164</v>
      </c>
      <c r="I16" s="39" t="s">
        <v>170</v>
      </c>
    </row>
    <row r="17" spans="1:9" x14ac:dyDescent="0.3">
      <c r="A17" s="39">
        <v>1</v>
      </c>
      <c r="B17" s="41" t="s">
        <v>200</v>
      </c>
      <c r="C17" s="42" t="s">
        <v>199</v>
      </c>
      <c r="D17" s="43">
        <f t="shared" ref="D17:E23" si="2">D4*$C$13</f>
        <v>9996</v>
      </c>
      <c r="E17" s="43">
        <f t="shared" si="2"/>
        <v>14382</v>
      </c>
      <c r="F17" s="39">
        <f t="shared" ref="F17:F23" si="3">F4</f>
        <v>9.8800000000000008</v>
      </c>
      <c r="G17" s="39">
        <f>E17/F17</f>
        <v>1455.6680161943318</v>
      </c>
      <c r="H17" s="44">
        <f>E17-D17</f>
        <v>4386</v>
      </c>
      <c r="I17" s="39" t="s">
        <v>180</v>
      </c>
    </row>
    <row r="18" spans="1:9" x14ac:dyDescent="0.3">
      <c r="A18" s="39">
        <v>2</v>
      </c>
      <c r="B18" s="39" t="s">
        <v>202</v>
      </c>
      <c r="C18" s="41" t="s">
        <v>203</v>
      </c>
      <c r="D18" s="43">
        <f t="shared" si="2"/>
        <v>15793</v>
      </c>
      <c r="E18" s="43">
        <f t="shared" si="2"/>
        <v>49827</v>
      </c>
      <c r="F18" s="39">
        <f t="shared" si="3"/>
        <v>13.28</v>
      </c>
      <c r="G18" s="39">
        <f t="shared" ref="G18:G23" si="4">E18/F18</f>
        <v>3752.0331325301208</v>
      </c>
      <c r="H18" s="44">
        <f t="shared" ref="H18:H23" si="5">E18-D18</f>
        <v>34034</v>
      </c>
      <c r="I18" s="39" t="s">
        <v>180</v>
      </c>
    </row>
    <row r="19" spans="1:9" x14ac:dyDescent="0.3">
      <c r="A19" s="39">
        <v>3</v>
      </c>
      <c r="B19" s="39" t="s">
        <v>160</v>
      </c>
      <c r="C19" s="39" t="s">
        <v>162</v>
      </c>
      <c r="D19" s="43">
        <f t="shared" si="2"/>
        <v>11798</v>
      </c>
      <c r="E19" s="43">
        <f t="shared" si="2"/>
        <v>16405</v>
      </c>
      <c r="F19" s="39">
        <f t="shared" si="3"/>
        <v>15.5</v>
      </c>
      <c r="G19" s="39">
        <f t="shared" si="4"/>
        <v>1058.3870967741937</v>
      </c>
      <c r="H19" s="44">
        <f t="shared" si="5"/>
        <v>4607</v>
      </c>
      <c r="I19" s="39" t="s">
        <v>180</v>
      </c>
    </row>
    <row r="20" spans="1:9" x14ac:dyDescent="0.3">
      <c r="A20" s="39">
        <v>4</v>
      </c>
      <c r="B20" s="41" t="s">
        <v>172</v>
      </c>
      <c r="C20" s="41" t="s">
        <v>173</v>
      </c>
      <c r="D20" s="43">
        <f t="shared" si="2"/>
        <v>4794</v>
      </c>
      <c r="E20" s="43">
        <f t="shared" si="2"/>
        <v>8806</v>
      </c>
      <c r="F20" s="39">
        <f t="shared" si="3"/>
        <v>10.83</v>
      </c>
      <c r="G20" s="39">
        <f t="shared" si="4"/>
        <v>813.11172668513393</v>
      </c>
      <c r="H20" s="44">
        <f t="shared" si="5"/>
        <v>4012</v>
      </c>
      <c r="I20" s="39" t="s">
        <v>180</v>
      </c>
    </row>
    <row r="21" spans="1:9" x14ac:dyDescent="0.3">
      <c r="A21" s="39">
        <v>5</v>
      </c>
      <c r="B21" s="41" t="s">
        <v>191</v>
      </c>
      <c r="C21" s="41" t="s">
        <v>192</v>
      </c>
      <c r="D21" s="43">
        <f t="shared" si="2"/>
        <v>3731.5</v>
      </c>
      <c r="E21" s="43">
        <f t="shared" si="2"/>
        <v>5848</v>
      </c>
      <c r="F21" s="39">
        <f t="shared" si="3"/>
        <v>12.15</v>
      </c>
      <c r="G21" s="39">
        <f t="shared" si="4"/>
        <v>481.31687242798353</v>
      </c>
      <c r="H21" s="44">
        <f t="shared" si="5"/>
        <v>2116.5</v>
      </c>
      <c r="I21" s="39" t="s">
        <v>180</v>
      </c>
    </row>
    <row r="22" spans="1:9" x14ac:dyDescent="0.3">
      <c r="A22" s="39">
        <v>6</v>
      </c>
      <c r="B22" s="41" t="s">
        <v>194</v>
      </c>
      <c r="C22" s="41" t="s">
        <v>163</v>
      </c>
      <c r="D22" s="43">
        <f t="shared" si="2"/>
        <v>5270</v>
      </c>
      <c r="E22" s="43">
        <f t="shared" si="2"/>
        <v>7420.5</v>
      </c>
      <c r="F22" s="39">
        <f t="shared" si="3"/>
        <v>13.81</v>
      </c>
      <c r="G22" s="39">
        <f t="shared" si="4"/>
        <v>537.32802317161475</v>
      </c>
      <c r="H22" s="44">
        <f t="shared" si="5"/>
        <v>2150.5</v>
      </c>
      <c r="I22" s="39" t="s">
        <v>180</v>
      </c>
    </row>
    <row r="23" spans="1:9" x14ac:dyDescent="0.3">
      <c r="A23" s="39">
        <v>7</v>
      </c>
      <c r="B23" s="41" t="s">
        <v>197</v>
      </c>
      <c r="C23" s="41" t="s">
        <v>198</v>
      </c>
      <c r="D23" s="43">
        <f t="shared" si="2"/>
        <v>10225.5</v>
      </c>
      <c r="E23" s="43">
        <f t="shared" si="2"/>
        <v>13243</v>
      </c>
      <c r="F23" s="39">
        <f t="shared" si="3"/>
        <v>15.08</v>
      </c>
      <c r="G23" s="39">
        <f t="shared" si="4"/>
        <v>878.18302387267909</v>
      </c>
      <c r="H23" s="44">
        <f t="shared" si="5"/>
        <v>3017.5</v>
      </c>
      <c r="I23" s="39" t="s">
        <v>180</v>
      </c>
    </row>
    <row r="24" spans="1:9" ht="15" thickBot="1" x14ac:dyDescent="0.35">
      <c r="B24" s="41"/>
      <c r="C24" s="41"/>
      <c r="D24" s="43"/>
      <c r="E24" s="43"/>
      <c r="H24" s="44"/>
    </row>
    <row r="25" spans="1:9" ht="15" thickBot="1" x14ac:dyDescent="0.35">
      <c r="B25" s="46" t="s">
        <v>181</v>
      </c>
      <c r="C25" s="47">
        <f>MEDIAN(Tableau9[EV/EBITDA])</f>
        <v>13.28</v>
      </c>
      <c r="D25" s="43"/>
      <c r="E25" s="43"/>
      <c r="H25" s="44"/>
    </row>
    <row r="26" spans="1:9" ht="15" thickBot="1" x14ac:dyDescent="0.35">
      <c r="B26" s="41"/>
      <c r="C26" s="41"/>
      <c r="D26" s="43"/>
      <c r="E26" s="43"/>
      <c r="H26" s="44"/>
    </row>
    <row r="27" spans="1:9" ht="15" thickBot="1" x14ac:dyDescent="0.35">
      <c r="B27" s="125" t="s">
        <v>188</v>
      </c>
      <c r="C27" s="126"/>
      <c r="F27" s="125" t="s">
        <v>189</v>
      </c>
      <c r="G27" s="126"/>
    </row>
    <row r="28" spans="1:9" x14ac:dyDescent="0.3">
      <c r="B28" s="48" t="s">
        <v>182</v>
      </c>
      <c r="C28" s="49">
        <v>1120</v>
      </c>
      <c r="F28" s="48" t="s">
        <v>182</v>
      </c>
      <c r="G28" s="49">
        <v>1168.2904000000001</v>
      </c>
      <c r="H28" s="127"/>
      <c r="I28" s="127"/>
    </row>
    <row r="29" spans="1:9" x14ac:dyDescent="0.3">
      <c r="B29" s="50" t="s">
        <v>187</v>
      </c>
      <c r="C29" s="49">
        <f>C28*C25</f>
        <v>14873.599999999999</v>
      </c>
      <c r="F29" s="50" t="s">
        <v>187</v>
      </c>
      <c r="G29" s="49">
        <f>G28*C25</f>
        <v>15514.896512000001</v>
      </c>
    </row>
    <row r="30" spans="1:9" x14ac:dyDescent="0.3">
      <c r="B30" s="50" t="s">
        <v>164</v>
      </c>
      <c r="C30" s="51">
        <v>2495</v>
      </c>
      <c r="F30" s="50" t="s">
        <v>164</v>
      </c>
      <c r="G30" s="51">
        <f>C30-660.8+614.25</f>
        <v>2448.4499999999998</v>
      </c>
      <c r="H30" s="41"/>
    </row>
    <row r="31" spans="1:9" x14ac:dyDescent="0.3">
      <c r="B31" s="50" t="s">
        <v>183</v>
      </c>
      <c r="C31" s="52">
        <f>(C29-C30)</f>
        <v>12378.599999999999</v>
      </c>
      <c r="F31" s="50" t="s">
        <v>183</v>
      </c>
      <c r="G31" s="52">
        <f>G29-G30</f>
        <v>13066.446512000002</v>
      </c>
      <c r="H31" s="41"/>
    </row>
    <row r="32" spans="1:9" x14ac:dyDescent="0.3">
      <c r="B32" s="50" t="s">
        <v>185</v>
      </c>
      <c r="C32" s="51">
        <v>243667720</v>
      </c>
      <c r="F32" s="50" t="s">
        <v>185</v>
      </c>
      <c r="G32" s="51">
        <v>243667720</v>
      </c>
      <c r="H32" s="41"/>
      <c r="I32" s="53"/>
    </row>
    <row r="33" spans="2:9" ht="15" thickBot="1" x14ac:dyDescent="0.35">
      <c r="B33" s="54" t="s">
        <v>184</v>
      </c>
      <c r="C33" s="55">
        <f>C31*1000000/C32</f>
        <v>50.8011483835446</v>
      </c>
      <c r="F33" s="54" t="s">
        <v>184</v>
      </c>
      <c r="G33" s="56">
        <f>G31*1000000/G32</f>
        <v>53.624035682691172</v>
      </c>
      <c r="H33" s="41"/>
      <c r="I33" s="57"/>
    </row>
  </sheetData>
  <mergeCells count="3">
    <mergeCell ref="B27:C27"/>
    <mergeCell ref="F27:G27"/>
    <mergeCell ref="H28:I28"/>
  </mergeCells>
  <hyperlinks>
    <hyperlink ref="L8" r:id="rId1" xr:uid="{D93FF405-13FB-4652-B031-F52086EB3050}"/>
    <hyperlink ref="L4" r:id="rId2" xr:uid="{CED5B01A-5ABB-480D-AB8D-A41C541E7927}"/>
    <hyperlink ref="L9" r:id="rId3" xr:uid="{847FC211-98C4-45F1-9D96-0A8D70C7CC03}"/>
    <hyperlink ref="L10" r:id="rId4" xr:uid="{31483C75-EB13-4458-BC0F-9A3F391D5ED1}"/>
    <hyperlink ref="L7" r:id="rId5" xr:uid="{A4CE6A41-CBBB-43EC-8FE9-3C895050A2D4}"/>
    <hyperlink ref="L6" r:id="rId6" xr:uid="{28933519-D53A-4E71-B982-4B00F4D7A9F3}"/>
    <hyperlink ref="L5" r:id="rId7" xr:uid="{22662392-7A1E-4089-ADB2-3DEFC8D8EC89}"/>
  </hyperlinks>
  <pageMargins left="0.7" right="0.7" top="0.75" bottom="0.75" header="0.3" footer="0.3"/>
  <tableParts count="2">
    <tablePart r:id="rId8"/>
    <tablePart r:id="rId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2127F-3EA9-4EE3-9A37-7744C97738FA}">
  <dimension ref="B3:H60"/>
  <sheetViews>
    <sheetView topLeftCell="B35" workbookViewId="0">
      <selection activeCell="B60" sqref="B60"/>
    </sheetView>
  </sheetViews>
  <sheetFormatPr baseColWidth="10" defaultRowHeight="14.4" x14ac:dyDescent="0.3"/>
  <cols>
    <col min="2" max="2" width="24.88671875" customWidth="1"/>
    <col min="3" max="3" width="12.77734375" customWidth="1"/>
  </cols>
  <sheetData>
    <row r="3" spans="2:3" x14ac:dyDescent="0.3">
      <c r="B3" s="130" t="s">
        <v>212</v>
      </c>
      <c r="C3" s="130"/>
    </row>
    <row r="4" spans="2:3" x14ac:dyDescent="0.3">
      <c r="B4" s="1" t="s">
        <v>213</v>
      </c>
      <c r="C4" s="92" t="s">
        <v>243</v>
      </c>
    </row>
    <row r="5" spans="2:3" x14ac:dyDescent="0.3">
      <c r="B5" s="97" t="s">
        <v>244</v>
      </c>
      <c r="C5" s="105">
        <v>0.2</v>
      </c>
    </row>
    <row r="6" spans="2:3" x14ac:dyDescent="0.3">
      <c r="B6" s="5" t="s">
        <v>214</v>
      </c>
      <c r="C6" s="91">
        <f>C4*(1+C5)</f>
        <v>16798.416000000001</v>
      </c>
    </row>
    <row r="7" spans="2:3" x14ac:dyDescent="0.3">
      <c r="B7" s="5" t="s">
        <v>215</v>
      </c>
      <c r="C7" s="90">
        <v>0.6</v>
      </c>
    </row>
    <row r="8" spans="2:3" x14ac:dyDescent="0.3">
      <c r="B8" s="5" t="s">
        <v>216</v>
      </c>
      <c r="C8" s="90">
        <v>0.05</v>
      </c>
    </row>
    <row r="9" spans="2:3" x14ac:dyDescent="0.3">
      <c r="B9" s="4" t="s">
        <v>217</v>
      </c>
      <c r="C9" s="4">
        <v>5</v>
      </c>
    </row>
    <row r="10" spans="2:3" x14ac:dyDescent="0.3">
      <c r="B10" s="4" t="s">
        <v>207</v>
      </c>
      <c r="C10" s="4">
        <v>660.0840760000001</v>
      </c>
    </row>
    <row r="11" spans="2:3" x14ac:dyDescent="0.3">
      <c r="B11" s="4" t="s">
        <v>208</v>
      </c>
      <c r="C11" s="4">
        <v>722.152733738547</v>
      </c>
    </row>
    <row r="12" spans="2:3" x14ac:dyDescent="0.3">
      <c r="B12" s="4" t="s">
        <v>218</v>
      </c>
      <c r="C12" s="4">
        <f>C6/C10</f>
        <v>25.448903572701848</v>
      </c>
    </row>
    <row r="13" spans="2:3" x14ac:dyDescent="0.3">
      <c r="B13" s="4"/>
      <c r="C13" s="4"/>
    </row>
    <row r="14" spans="2:3" x14ac:dyDescent="0.3">
      <c r="B14" s="4"/>
      <c r="C14" s="4"/>
    </row>
    <row r="15" spans="2:3" x14ac:dyDescent="0.3">
      <c r="B15" s="131" t="s">
        <v>219</v>
      </c>
      <c r="C15" s="131"/>
    </row>
    <row r="16" spans="2:3" x14ac:dyDescent="0.3">
      <c r="B16" s="4" t="s">
        <v>209</v>
      </c>
      <c r="C16" s="4">
        <f>C7*C6</f>
        <v>10079.0496</v>
      </c>
    </row>
    <row r="17" spans="2:7" x14ac:dyDescent="0.3">
      <c r="B17" s="98" t="s">
        <v>220</v>
      </c>
      <c r="C17" s="98">
        <f>C6-C16</f>
        <v>6719.3664000000008</v>
      </c>
    </row>
    <row r="18" spans="2:7" ht="15" thickBot="1" x14ac:dyDescent="0.35">
      <c r="B18" s="32" t="s">
        <v>221</v>
      </c>
      <c r="C18" s="32">
        <f>C16+C17</f>
        <v>16798.416000000001</v>
      </c>
    </row>
    <row r="21" spans="2:7" x14ac:dyDescent="0.3">
      <c r="B21" s="130" t="s">
        <v>222</v>
      </c>
      <c r="C21" s="130"/>
      <c r="D21" s="130"/>
      <c r="E21" s="130"/>
      <c r="F21" s="130"/>
      <c r="G21" s="130"/>
    </row>
    <row r="22" spans="2:7" x14ac:dyDescent="0.3">
      <c r="B22" t="s">
        <v>46</v>
      </c>
      <c r="C22" s="3" t="s">
        <v>87</v>
      </c>
      <c r="D22" s="3" t="s">
        <v>88</v>
      </c>
      <c r="E22" s="3" t="s">
        <v>89</v>
      </c>
      <c r="F22" s="3" t="s">
        <v>90</v>
      </c>
      <c r="G22" s="3" t="s">
        <v>91</v>
      </c>
    </row>
    <row r="23" spans="2:7" x14ac:dyDescent="0.3">
      <c r="B23" s="4" t="s">
        <v>223</v>
      </c>
      <c r="C23" s="4">
        <f>C16</f>
        <v>10079.0496</v>
      </c>
      <c r="D23" s="4">
        <f>C27</f>
        <v>9922.918004000001</v>
      </c>
      <c r="E23" s="4">
        <f t="shared" ref="E23:G23" si="0">D27</f>
        <v>9735.8768855400012</v>
      </c>
      <c r="F23" s="4">
        <f t="shared" si="0"/>
        <v>9523.770409727822</v>
      </c>
      <c r="G23" s="4">
        <f t="shared" si="0"/>
        <v>9288.4784043634281</v>
      </c>
    </row>
    <row r="24" spans="2:7" x14ac:dyDescent="0.3">
      <c r="B24" s="4" t="s">
        <v>0</v>
      </c>
      <c r="C24" s="4">
        <v>660.0840760000001</v>
      </c>
      <c r="D24" s="4">
        <v>683.18701866000004</v>
      </c>
      <c r="E24" s="4">
        <v>698.90032008918001</v>
      </c>
      <c r="F24" s="4">
        <v>711.48052585078506</v>
      </c>
      <c r="G24" s="4">
        <v>722.152733738547</v>
      </c>
    </row>
    <row r="25" spans="2:7" x14ac:dyDescent="0.3">
      <c r="B25" s="4" t="s">
        <v>210</v>
      </c>
      <c r="C25" s="4">
        <f>$C$8*C23</f>
        <v>503.95248000000004</v>
      </c>
      <c r="D25" s="4">
        <f t="shared" ref="D25:G25" si="1">$C$8*D23</f>
        <v>496.14590020000009</v>
      </c>
      <c r="E25" s="4">
        <f t="shared" si="1"/>
        <v>486.79384427700006</v>
      </c>
      <c r="F25" s="4">
        <f t="shared" si="1"/>
        <v>476.1885204863911</v>
      </c>
      <c r="G25" s="4">
        <f t="shared" si="1"/>
        <v>464.42392021817142</v>
      </c>
    </row>
    <row r="26" spans="2:7" x14ac:dyDescent="0.3">
      <c r="B26" s="4" t="s">
        <v>211</v>
      </c>
      <c r="C26" s="4">
        <f>C24-C25</f>
        <v>156.13159600000006</v>
      </c>
      <c r="D26" s="4">
        <f t="shared" ref="D26:G26" si="2">D24-D25</f>
        <v>187.04111845999995</v>
      </c>
      <c r="E26" s="4">
        <f t="shared" si="2"/>
        <v>212.10647581217995</v>
      </c>
      <c r="F26" s="4">
        <f t="shared" si="2"/>
        <v>235.29200536439396</v>
      </c>
      <c r="G26" s="4">
        <f t="shared" si="2"/>
        <v>257.72881352037558</v>
      </c>
    </row>
    <row r="27" spans="2:7" x14ac:dyDescent="0.3">
      <c r="B27" s="4" t="s">
        <v>224</v>
      </c>
      <c r="C27" s="4">
        <f>C23-C26</f>
        <v>9922.918004000001</v>
      </c>
      <c r="D27" s="4">
        <f t="shared" ref="D27:G27" si="3">D23-D26</f>
        <v>9735.8768855400012</v>
      </c>
      <c r="E27" s="4">
        <f t="shared" si="3"/>
        <v>9523.770409727822</v>
      </c>
      <c r="F27" s="4">
        <f t="shared" si="3"/>
        <v>9288.4784043634281</v>
      </c>
      <c r="G27" s="4">
        <f t="shared" si="3"/>
        <v>9030.7495908430519</v>
      </c>
    </row>
    <row r="28" spans="2:7" x14ac:dyDescent="0.3">
      <c r="B28" s="4"/>
      <c r="C28" s="4"/>
      <c r="D28" s="4"/>
      <c r="E28" s="4"/>
      <c r="F28" s="4"/>
      <c r="G28" s="4"/>
    </row>
    <row r="29" spans="2:7" x14ac:dyDescent="0.3">
      <c r="B29" s="4"/>
      <c r="C29" s="4"/>
      <c r="D29" s="4"/>
      <c r="E29" s="4"/>
      <c r="F29" s="4"/>
      <c r="G29" s="4"/>
    </row>
    <row r="30" spans="2:7" x14ac:dyDescent="0.3">
      <c r="B30" s="131" t="s">
        <v>225</v>
      </c>
      <c r="C30" s="131"/>
      <c r="D30" s="4"/>
      <c r="E30" s="4"/>
      <c r="F30" s="4"/>
      <c r="G30" s="4"/>
    </row>
    <row r="31" spans="2:7" x14ac:dyDescent="0.3">
      <c r="B31" s="4" t="s">
        <v>226</v>
      </c>
      <c r="C31" s="4">
        <f>C11*C12</f>
        <v>18377.995285675315</v>
      </c>
      <c r="D31" s="4"/>
      <c r="E31" s="4"/>
      <c r="F31" s="4"/>
      <c r="G31" s="4"/>
    </row>
    <row r="32" spans="2:7" x14ac:dyDescent="0.3">
      <c r="B32" s="99" t="s">
        <v>227</v>
      </c>
      <c r="C32" s="99">
        <f>G27</f>
        <v>9030.7495908430519</v>
      </c>
      <c r="D32" s="4"/>
      <c r="E32" s="4"/>
      <c r="F32" s="4"/>
      <c r="G32" s="4"/>
    </row>
    <row r="33" spans="2:7" ht="15" thickBot="1" x14ac:dyDescent="0.35">
      <c r="B33" s="32" t="s">
        <v>228</v>
      </c>
      <c r="C33" s="32">
        <f>C31-C32</f>
        <v>9347.2456948322633</v>
      </c>
      <c r="D33" s="4"/>
      <c r="E33" s="4"/>
      <c r="F33" s="4"/>
      <c r="G33" s="4"/>
    </row>
    <row r="34" spans="2:7" x14ac:dyDescent="0.3">
      <c r="B34" s="4"/>
      <c r="C34" s="4"/>
      <c r="D34" s="4"/>
      <c r="E34" s="4"/>
      <c r="F34" s="4"/>
      <c r="G34" s="4"/>
    </row>
    <row r="35" spans="2:7" x14ac:dyDescent="0.3">
      <c r="B35" s="4"/>
      <c r="C35" s="4"/>
      <c r="D35" s="4"/>
      <c r="E35" s="4"/>
      <c r="F35" s="4"/>
      <c r="G35" s="4"/>
    </row>
    <row r="36" spans="2:7" x14ac:dyDescent="0.3">
      <c r="B36" s="131" t="s">
        <v>229</v>
      </c>
      <c r="C36" s="131"/>
      <c r="D36" s="4"/>
      <c r="E36" s="4"/>
      <c r="F36" s="4"/>
      <c r="G36" s="4"/>
    </row>
    <row r="37" spans="2:7" x14ac:dyDescent="0.3">
      <c r="B37" s="4" t="s">
        <v>230</v>
      </c>
      <c r="C37" s="4">
        <f>C17</f>
        <v>6719.3664000000008</v>
      </c>
      <c r="D37" s="4"/>
      <c r="E37" s="4"/>
      <c r="F37" s="4"/>
      <c r="G37" s="4"/>
    </row>
    <row r="38" spans="2:7" x14ac:dyDescent="0.3">
      <c r="B38" s="99" t="s">
        <v>231</v>
      </c>
      <c r="C38" s="99">
        <f>C33</f>
        <v>9347.2456948322633</v>
      </c>
      <c r="D38" s="4"/>
      <c r="E38" s="4"/>
      <c r="F38" s="4"/>
      <c r="G38" s="4"/>
    </row>
    <row r="39" spans="2:7" x14ac:dyDescent="0.3">
      <c r="B39" s="4" t="s">
        <v>232</v>
      </c>
      <c r="C39" s="4">
        <f>C38/C37</f>
        <v>1.3910903407250217</v>
      </c>
      <c r="D39" s="4"/>
      <c r="E39" s="4"/>
      <c r="F39" s="4"/>
      <c r="G39" s="4"/>
    </row>
    <row r="40" spans="2:7" x14ac:dyDescent="0.3">
      <c r="B40" t="s">
        <v>46</v>
      </c>
      <c r="C40" s="3" t="s">
        <v>87</v>
      </c>
      <c r="D40" s="3" t="s">
        <v>88</v>
      </c>
      <c r="E40" s="3" t="s">
        <v>89</v>
      </c>
      <c r="F40" s="3" t="s">
        <v>90</v>
      </c>
      <c r="G40" s="3" t="s">
        <v>91</v>
      </c>
    </row>
    <row r="41" spans="2:7" x14ac:dyDescent="0.3">
      <c r="B41" t="s">
        <v>220</v>
      </c>
      <c r="C41" s="4">
        <f>-C37</f>
        <v>-6719.3664000000008</v>
      </c>
      <c r="D41" s="4">
        <v>0</v>
      </c>
      <c r="E41" s="4">
        <v>0</v>
      </c>
      <c r="F41" s="4">
        <v>0</v>
      </c>
      <c r="G41" s="4">
        <f>C38</f>
        <v>9347.2456948322633</v>
      </c>
    </row>
    <row r="42" spans="2:7" x14ac:dyDescent="0.3">
      <c r="B42" t="s">
        <v>233</v>
      </c>
      <c r="C42" s="6">
        <f>IRR(C41:G41)</f>
        <v>8.6022526965612078E-2</v>
      </c>
    </row>
    <row r="44" spans="2:7" x14ac:dyDescent="0.3">
      <c r="B44" s="130" t="s">
        <v>234</v>
      </c>
      <c r="C44" s="130"/>
    </row>
    <row r="45" spans="2:7" x14ac:dyDescent="0.3">
      <c r="B45" s="2" t="s">
        <v>235</v>
      </c>
      <c r="C45" s="8">
        <f>C6</f>
        <v>16798.416000000001</v>
      </c>
    </row>
    <row r="46" spans="2:7" x14ac:dyDescent="0.3">
      <c r="B46" s="2" t="s">
        <v>236</v>
      </c>
      <c r="C46" s="8">
        <f>C16</f>
        <v>10079.0496</v>
      </c>
    </row>
    <row r="47" spans="2:7" x14ac:dyDescent="0.3">
      <c r="B47" s="2" t="s">
        <v>237</v>
      </c>
      <c r="C47" s="8">
        <f>C37</f>
        <v>6719.3664000000008</v>
      </c>
    </row>
    <row r="48" spans="2:7" x14ac:dyDescent="0.3">
      <c r="B48" s="2" t="s">
        <v>238</v>
      </c>
      <c r="C48" s="8">
        <f>C38</f>
        <v>9347.2456948322633</v>
      </c>
    </row>
    <row r="49" spans="2:8" x14ac:dyDescent="0.3">
      <c r="B49" s="2" t="s">
        <v>239</v>
      </c>
      <c r="C49" s="8">
        <f>C39</f>
        <v>1.3910903407250217</v>
      </c>
    </row>
    <row r="50" spans="2:8" ht="15" thickBot="1" x14ac:dyDescent="0.35">
      <c r="B50" s="100" t="s">
        <v>240</v>
      </c>
      <c r="C50" s="101">
        <f>C42</f>
        <v>8.6022526965612078E-2</v>
      </c>
    </row>
    <row r="52" spans="2:8" x14ac:dyDescent="0.3">
      <c r="B52" s="130" t="s">
        <v>242</v>
      </c>
      <c r="C52" s="130"/>
      <c r="D52" s="130"/>
      <c r="E52" s="130"/>
      <c r="F52" s="130"/>
      <c r="G52" s="130"/>
      <c r="H52" s="130"/>
    </row>
    <row r="53" spans="2:8" x14ac:dyDescent="0.3">
      <c r="D53" s="128" t="s">
        <v>239</v>
      </c>
      <c r="E53" s="128"/>
      <c r="F53" s="128"/>
      <c r="G53" s="128"/>
      <c r="H53" s="128"/>
    </row>
    <row r="54" spans="2:8" x14ac:dyDescent="0.3">
      <c r="C54" s="102">
        <f>C50</f>
        <v>8.6022526965612078E-2</v>
      </c>
      <c r="D54" s="103">
        <v>1.2</v>
      </c>
      <c r="E54" s="103">
        <v>1.3</v>
      </c>
      <c r="F54" s="103">
        <v>1.39</v>
      </c>
      <c r="G54" s="103">
        <v>1.5</v>
      </c>
      <c r="H54" s="103">
        <v>1.6</v>
      </c>
    </row>
    <row r="55" spans="2:8" x14ac:dyDescent="0.3">
      <c r="B55" s="129" t="s">
        <v>241</v>
      </c>
      <c r="C55" s="104">
        <v>0.5</v>
      </c>
      <c r="D55" s="13">
        <f t="dataTable" ref="D55:H59" dt2D="1" dtr="1" r1="C49" r2="C7"/>
        <v>8.1512962958335988E-2</v>
      </c>
      <c r="E55" s="13">
        <v>8.1512962958335988E-2</v>
      </c>
      <c r="F55" s="13">
        <v>8.1512962958335988E-2</v>
      </c>
      <c r="G55" s="13">
        <v>8.1512962958335988E-2</v>
      </c>
      <c r="H55" s="13">
        <v>8.1512962958335988E-2</v>
      </c>
    </row>
    <row r="56" spans="2:8" x14ac:dyDescent="0.3">
      <c r="B56" s="129"/>
      <c r="C56" s="104">
        <v>0.55000000000000004</v>
      </c>
      <c r="D56" s="13">
        <v>8.3524167065616606E-2</v>
      </c>
      <c r="E56" s="13">
        <v>8.3524167065616606E-2</v>
      </c>
      <c r="F56" s="13">
        <v>8.3524167065616606E-2</v>
      </c>
      <c r="G56" s="13">
        <v>8.3524167065616606E-2</v>
      </c>
      <c r="H56" s="13">
        <v>8.3524167065616606E-2</v>
      </c>
    </row>
    <row r="57" spans="2:8" x14ac:dyDescent="0.3">
      <c r="B57" s="129"/>
      <c r="C57" s="104">
        <v>0.6</v>
      </c>
      <c r="D57" s="13">
        <v>8.6022526965612078E-2</v>
      </c>
      <c r="E57" s="13">
        <v>8.6022526965612078E-2</v>
      </c>
      <c r="F57" s="13">
        <v>8.6022526965612078E-2</v>
      </c>
      <c r="G57" s="13">
        <v>8.6022526965612078E-2</v>
      </c>
      <c r="H57" s="13">
        <v>8.6022526965612078E-2</v>
      </c>
    </row>
    <row r="58" spans="2:8" x14ac:dyDescent="0.3">
      <c r="B58" s="129"/>
      <c r="C58" s="104">
        <v>0.65</v>
      </c>
      <c r="D58" s="13">
        <v>8.9209580098185359E-2</v>
      </c>
      <c r="E58" s="13">
        <v>8.9209580098185359E-2</v>
      </c>
      <c r="F58" s="13">
        <v>8.9209580098185359E-2</v>
      </c>
      <c r="G58" s="13">
        <v>8.9209580098185359E-2</v>
      </c>
      <c r="H58" s="13">
        <v>8.9209580098185359E-2</v>
      </c>
    </row>
    <row r="59" spans="2:8" x14ac:dyDescent="0.3">
      <c r="B59" s="129"/>
      <c r="C59" s="104">
        <v>0.7</v>
      </c>
      <c r="D59" s="13">
        <v>9.3415940570679368E-2</v>
      </c>
      <c r="E59" s="13">
        <v>9.3415940570679368E-2</v>
      </c>
      <c r="F59" s="13">
        <v>9.3415940570679368E-2</v>
      </c>
      <c r="G59" s="13">
        <v>9.3415940570679368E-2</v>
      </c>
      <c r="H59" s="13">
        <v>9.3415940570679368E-2</v>
      </c>
    </row>
    <row r="60" spans="2:8" x14ac:dyDescent="0.3">
      <c r="B60" s="93"/>
    </row>
  </sheetData>
  <mergeCells count="9">
    <mergeCell ref="D53:H53"/>
    <mergeCell ref="B55:B59"/>
    <mergeCell ref="B52:H52"/>
    <mergeCell ref="B3:C3"/>
    <mergeCell ref="B15:C15"/>
    <mergeCell ref="B21:G21"/>
    <mergeCell ref="B36:C36"/>
    <mergeCell ref="B30:C30"/>
    <mergeCell ref="B44:C44"/>
  </mergeCells>
  <pageMargins left="0.7" right="0.7" top="0.75" bottom="0.75" header="0.3" footer="0.3"/>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81FBE-4970-471A-8857-4D487D62CABC}">
  <dimension ref="B3:H75"/>
  <sheetViews>
    <sheetView topLeftCell="A46" workbookViewId="0">
      <selection activeCell="D61" sqref="D61"/>
    </sheetView>
  </sheetViews>
  <sheetFormatPr baseColWidth="10" defaultRowHeight="14.4" x14ac:dyDescent="0.3"/>
  <cols>
    <col min="2" max="2" width="30.21875" bestFit="1" customWidth="1"/>
  </cols>
  <sheetData>
    <row r="3" spans="2:5" x14ac:dyDescent="0.3">
      <c r="B3" s="34" t="s">
        <v>245</v>
      </c>
    </row>
    <row r="4" spans="2:5" x14ac:dyDescent="0.3">
      <c r="B4" t="s">
        <v>247</v>
      </c>
      <c r="C4">
        <v>4981</v>
      </c>
    </row>
    <row r="6" spans="2:5" x14ac:dyDescent="0.3">
      <c r="B6" s="34" t="s">
        <v>179</v>
      </c>
      <c r="C6">
        <v>0.85</v>
      </c>
    </row>
    <row r="7" spans="2:5" x14ac:dyDescent="0.3">
      <c r="B7" s="34"/>
    </row>
    <row r="8" spans="2:5" x14ac:dyDescent="0.3">
      <c r="B8" s="34" t="s">
        <v>246</v>
      </c>
    </row>
    <row r="9" spans="2:5" x14ac:dyDescent="0.3">
      <c r="B9" s="34" t="s">
        <v>247</v>
      </c>
      <c r="C9">
        <f>C4*C6</f>
        <v>4233.8499999999995</v>
      </c>
    </row>
    <row r="10" spans="2:5" x14ac:dyDescent="0.3">
      <c r="B10" s="34" t="s">
        <v>248</v>
      </c>
      <c r="C10">
        <v>1120</v>
      </c>
    </row>
    <row r="11" spans="2:5" x14ac:dyDescent="0.3">
      <c r="B11" s="34" t="s">
        <v>249</v>
      </c>
      <c r="C11">
        <f>C9+C10</f>
        <v>5353.8499999999995</v>
      </c>
    </row>
    <row r="13" spans="2:5" x14ac:dyDescent="0.3">
      <c r="B13" s="34" t="s">
        <v>206</v>
      </c>
      <c r="C13" s="7"/>
    </row>
    <row r="14" spans="2:5" ht="15" x14ac:dyDescent="0.35">
      <c r="B14" s="34" t="s">
        <v>251</v>
      </c>
      <c r="C14" s="7">
        <v>0.03</v>
      </c>
      <c r="E14" s="9" t="s">
        <v>252</v>
      </c>
    </row>
    <row r="15" spans="2:5" x14ac:dyDescent="0.3">
      <c r="B15" s="34" t="s">
        <v>250</v>
      </c>
      <c r="C15">
        <f>C11*C14</f>
        <v>160.61549999999997</v>
      </c>
      <c r="E15" t="s">
        <v>253</v>
      </c>
    </row>
    <row r="16" spans="2:5" x14ac:dyDescent="0.3">
      <c r="E16" t="s">
        <v>254</v>
      </c>
    </row>
    <row r="18" spans="2:3" x14ac:dyDescent="0.3">
      <c r="B18" s="130" t="s">
        <v>212</v>
      </c>
      <c r="C18" s="130"/>
    </row>
    <row r="19" spans="2:3" x14ac:dyDescent="0.3">
      <c r="B19" s="1" t="s">
        <v>213</v>
      </c>
      <c r="C19" s="92" t="s">
        <v>243</v>
      </c>
    </row>
    <row r="20" spans="2:3" x14ac:dyDescent="0.3">
      <c r="B20" s="97" t="s">
        <v>244</v>
      </c>
      <c r="C20" s="105">
        <v>0.2</v>
      </c>
    </row>
    <row r="21" spans="2:3" x14ac:dyDescent="0.3">
      <c r="B21" s="5" t="s">
        <v>214</v>
      </c>
      <c r="C21" s="91">
        <f>C19*(1+C20)</f>
        <v>16798.416000000001</v>
      </c>
    </row>
    <row r="22" spans="2:3" x14ac:dyDescent="0.3">
      <c r="B22" s="5" t="s">
        <v>215</v>
      </c>
      <c r="C22" s="90">
        <v>0.6</v>
      </c>
    </row>
    <row r="23" spans="2:3" x14ac:dyDescent="0.3">
      <c r="B23" s="5" t="s">
        <v>216</v>
      </c>
      <c r="C23" s="90">
        <v>0.05</v>
      </c>
    </row>
    <row r="24" spans="2:3" x14ac:dyDescent="0.3">
      <c r="B24" s="4" t="s">
        <v>217</v>
      </c>
      <c r="C24" s="4">
        <v>5</v>
      </c>
    </row>
    <row r="25" spans="2:3" x14ac:dyDescent="0.3">
      <c r="B25" s="4" t="s">
        <v>207</v>
      </c>
      <c r="C25" s="4">
        <v>660.0840760000001</v>
      </c>
    </row>
    <row r="26" spans="2:3" x14ac:dyDescent="0.3">
      <c r="B26" s="4" t="s">
        <v>208</v>
      </c>
      <c r="C26" s="4">
        <v>722.152733738547</v>
      </c>
    </row>
    <row r="27" spans="2:3" x14ac:dyDescent="0.3">
      <c r="B27" s="4" t="s">
        <v>218</v>
      </c>
      <c r="C27" s="4">
        <f>C21/C25</f>
        <v>25.448903572701848</v>
      </c>
    </row>
    <row r="28" spans="2:3" x14ac:dyDescent="0.3">
      <c r="B28" s="4"/>
      <c r="C28" s="4"/>
    </row>
    <row r="29" spans="2:3" x14ac:dyDescent="0.3">
      <c r="B29" s="4"/>
      <c r="C29" s="4"/>
    </row>
    <row r="30" spans="2:3" x14ac:dyDescent="0.3">
      <c r="B30" s="131" t="s">
        <v>219</v>
      </c>
      <c r="C30" s="131"/>
    </row>
    <row r="31" spans="2:3" x14ac:dyDescent="0.3">
      <c r="B31" s="4" t="s">
        <v>209</v>
      </c>
      <c r="C31" s="4">
        <f>C22*C21</f>
        <v>10079.0496</v>
      </c>
    </row>
    <row r="32" spans="2:3" x14ac:dyDescent="0.3">
      <c r="B32" s="98" t="s">
        <v>220</v>
      </c>
      <c r="C32" s="98">
        <f>C21-C31</f>
        <v>6719.3664000000008</v>
      </c>
    </row>
    <row r="33" spans="2:7" ht="15" thickBot="1" x14ac:dyDescent="0.35">
      <c r="B33" s="32" t="s">
        <v>221</v>
      </c>
      <c r="C33" s="32">
        <f>C31+C32</f>
        <v>16798.416000000001</v>
      </c>
    </row>
    <row r="36" spans="2:7" x14ac:dyDescent="0.3">
      <c r="B36" s="130" t="s">
        <v>222</v>
      </c>
      <c r="C36" s="130"/>
      <c r="D36" s="130"/>
      <c r="E36" s="130"/>
      <c r="F36" s="130"/>
      <c r="G36" s="130"/>
    </row>
    <row r="37" spans="2:7" x14ac:dyDescent="0.3">
      <c r="B37" t="s">
        <v>46</v>
      </c>
      <c r="C37" s="3" t="s">
        <v>87</v>
      </c>
      <c r="D37" s="3" t="s">
        <v>88</v>
      </c>
      <c r="E37" s="3" t="s">
        <v>89</v>
      </c>
      <c r="F37" s="3" t="s">
        <v>90</v>
      </c>
      <c r="G37" s="3" t="s">
        <v>91</v>
      </c>
    </row>
    <row r="38" spans="2:7" x14ac:dyDescent="0.3">
      <c r="B38" s="4" t="s">
        <v>223</v>
      </c>
      <c r="C38" s="4">
        <f>C31</f>
        <v>10079.0496</v>
      </c>
      <c r="D38" s="4">
        <f>C43</f>
        <v>9762.3025039999993</v>
      </c>
      <c r="E38" s="4">
        <f t="shared" ref="E38:G38" si="0">D43</f>
        <v>9406.6151105399986</v>
      </c>
      <c r="F38" s="4">
        <f t="shared" si="0"/>
        <v>9017.4300459778187</v>
      </c>
      <c r="G38" s="4">
        <f t="shared" si="0"/>
        <v>8596.2055224259238</v>
      </c>
    </row>
    <row r="39" spans="2:7" x14ac:dyDescent="0.3">
      <c r="B39" s="4" t="s">
        <v>256</v>
      </c>
      <c r="C39" s="4">
        <v>660.0840760000001</v>
      </c>
      <c r="D39" s="4">
        <v>683.18701866000004</v>
      </c>
      <c r="E39" s="4">
        <v>698.90032008918001</v>
      </c>
      <c r="F39" s="4">
        <v>711.48052585078506</v>
      </c>
      <c r="G39" s="4">
        <v>722.152733738547</v>
      </c>
    </row>
    <row r="40" spans="2:7" x14ac:dyDescent="0.3">
      <c r="B40" s="4" t="s">
        <v>255</v>
      </c>
      <c r="C40" s="4">
        <f>C39+$C$15</f>
        <v>820.69957600000009</v>
      </c>
      <c r="D40" s="4">
        <f t="shared" ref="D40:G40" si="1">D39+$C$15</f>
        <v>843.80251866000003</v>
      </c>
      <c r="E40" s="4">
        <f t="shared" si="1"/>
        <v>859.51582008918001</v>
      </c>
      <c r="F40" s="4">
        <f t="shared" si="1"/>
        <v>872.09602585078505</v>
      </c>
      <c r="G40" s="4">
        <f t="shared" si="1"/>
        <v>882.768233738547</v>
      </c>
    </row>
    <row r="41" spans="2:7" x14ac:dyDescent="0.3">
      <c r="B41" s="4" t="s">
        <v>210</v>
      </c>
      <c r="C41" s="4">
        <f>$C$23*C38</f>
        <v>503.95248000000004</v>
      </c>
      <c r="D41" s="4">
        <f t="shared" ref="D41:G41" si="2">$C$23*D38</f>
        <v>488.11512519999997</v>
      </c>
      <c r="E41" s="4">
        <f t="shared" si="2"/>
        <v>470.33075552699995</v>
      </c>
      <c r="F41" s="4">
        <f t="shared" si="2"/>
        <v>450.87150229889096</v>
      </c>
      <c r="G41" s="4">
        <f t="shared" si="2"/>
        <v>429.81027612129623</v>
      </c>
    </row>
    <row r="42" spans="2:7" x14ac:dyDescent="0.3">
      <c r="B42" s="4" t="s">
        <v>257</v>
      </c>
      <c r="C42" s="4">
        <f>C40-C41</f>
        <v>316.74709600000006</v>
      </c>
      <c r="D42" s="4">
        <f t="shared" ref="D42:G42" si="3">D40-D41</f>
        <v>355.68739346000007</v>
      </c>
      <c r="E42" s="4">
        <f t="shared" si="3"/>
        <v>389.18506456218006</v>
      </c>
      <c r="F42" s="4">
        <f t="shared" si="3"/>
        <v>421.22452355189409</v>
      </c>
      <c r="G42" s="4">
        <f t="shared" si="3"/>
        <v>452.95795761725077</v>
      </c>
    </row>
    <row r="43" spans="2:7" x14ac:dyDescent="0.3">
      <c r="B43" s="4" t="s">
        <v>224</v>
      </c>
      <c r="C43" s="4">
        <f>C38-C42</f>
        <v>9762.3025039999993</v>
      </c>
      <c r="D43" s="4">
        <f>D38-D42</f>
        <v>9406.6151105399986</v>
      </c>
      <c r="E43" s="4">
        <f>E38-E42</f>
        <v>9017.4300459778187</v>
      </c>
      <c r="F43" s="4">
        <f>F38-F42</f>
        <v>8596.2055224259238</v>
      </c>
      <c r="G43" s="4">
        <f>G38-G42</f>
        <v>8143.2475648086729</v>
      </c>
    </row>
    <row r="46" spans="2:7" x14ac:dyDescent="0.3">
      <c r="B46" s="131" t="s">
        <v>225</v>
      </c>
      <c r="C46" s="131"/>
      <c r="D46" s="4"/>
      <c r="E46" s="4"/>
      <c r="F46" s="4"/>
      <c r="G46" s="4"/>
    </row>
    <row r="47" spans="2:7" x14ac:dyDescent="0.3">
      <c r="B47" s="4" t="s">
        <v>226</v>
      </c>
      <c r="C47" s="4">
        <f>C26*C27</f>
        <v>18377.995285675315</v>
      </c>
      <c r="D47" s="4"/>
      <c r="E47" s="4"/>
      <c r="F47" s="4"/>
      <c r="G47" s="4"/>
    </row>
    <row r="48" spans="2:7" x14ac:dyDescent="0.3">
      <c r="B48" s="99" t="s">
        <v>227</v>
      </c>
      <c r="C48" s="99">
        <f>G43</f>
        <v>8143.2475648086729</v>
      </c>
      <c r="D48" s="4"/>
      <c r="E48" s="4"/>
      <c r="F48" s="4"/>
      <c r="G48" s="4"/>
    </row>
    <row r="49" spans="2:7" ht="15" thickBot="1" x14ac:dyDescent="0.35">
      <c r="B49" s="32" t="s">
        <v>228</v>
      </c>
      <c r="C49" s="32">
        <f>C47-C48</f>
        <v>10234.747720866642</v>
      </c>
      <c r="D49" s="4"/>
      <c r="E49" s="4"/>
      <c r="F49" s="4"/>
      <c r="G49" s="4"/>
    </row>
    <row r="50" spans="2:7" x14ac:dyDescent="0.3">
      <c r="B50" s="4"/>
      <c r="C50" s="4"/>
      <c r="D50" s="4"/>
      <c r="E50" s="4"/>
      <c r="F50" s="4"/>
      <c r="G50" s="4"/>
    </row>
    <row r="51" spans="2:7" x14ac:dyDescent="0.3">
      <c r="B51" s="4"/>
      <c r="C51" s="4"/>
      <c r="D51" s="4"/>
      <c r="E51" s="4"/>
      <c r="F51" s="4"/>
      <c r="G51" s="4"/>
    </row>
    <row r="52" spans="2:7" x14ac:dyDescent="0.3">
      <c r="B52" s="131" t="s">
        <v>229</v>
      </c>
      <c r="C52" s="131"/>
      <c r="D52" s="4"/>
      <c r="E52" s="4"/>
      <c r="F52" s="4"/>
      <c r="G52" s="4"/>
    </row>
    <row r="53" spans="2:7" x14ac:dyDescent="0.3">
      <c r="B53" s="4" t="s">
        <v>230</v>
      </c>
      <c r="C53" s="4">
        <f>C32</f>
        <v>6719.3664000000008</v>
      </c>
      <c r="D53" s="4"/>
      <c r="E53" s="4"/>
      <c r="F53" s="4"/>
      <c r="G53" s="4"/>
    </row>
    <row r="54" spans="2:7" x14ac:dyDescent="0.3">
      <c r="B54" s="99" t="s">
        <v>231</v>
      </c>
      <c r="C54" s="99">
        <f>C49</f>
        <v>10234.747720866642</v>
      </c>
      <c r="D54" s="4"/>
      <c r="E54" s="4"/>
      <c r="F54" s="4"/>
      <c r="G54" s="4"/>
    </row>
    <row r="55" spans="2:7" x14ac:dyDescent="0.3">
      <c r="B55" s="4" t="s">
        <v>232</v>
      </c>
      <c r="C55" s="4">
        <f>C54/C53</f>
        <v>1.523171547970154</v>
      </c>
      <c r="D55" s="4"/>
      <c r="E55" s="4"/>
      <c r="F55" s="4"/>
      <c r="G55" s="4"/>
    </row>
    <row r="56" spans="2:7" x14ac:dyDescent="0.3">
      <c r="B56" t="s">
        <v>46</v>
      </c>
      <c r="C56" s="3" t="s">
        <v>87</v>
      </c>
      <c r="D56" s="3" t="s">
        <v>88</v>
      </c>
      <c r="E56" s="3" t="s">
        <v>89</v>
      </c>
      <c r="F56" s="3" t="s">
        <v>90</v>
      </c>
      <c r="G56" s="3" t="s">
        <v>91</v>
      </c>
    </row>
    <row r="57" spans="2:7" x14ac:dyDescent="0.3">
      <c r="B57" t="s">
        <v>220</v>
      </c>
      <c r="C57" s="4">
        <f>-C53</f>
        <v>-6719.3664000000008</v>
      </c>
      <c r="D57" s="4">
        <v>0</v>
      </c>
      <c r="E57" s="4">
        <v>0</v>
      </c>
      <c r="F57" s="4">
        <v>0</v>
      </c>
      <c r="G57" s="4">
        <f t="shared" ref="G57:G58" si="4">C54</f>
        <v>10234.747720866642</v>
      </c>
    </row>
    <row r="58" spans="2:7" x14ac:dyDescent="0.3">
      <c r="B58" t="s">
        <v>233</v>
      </c>
      <c r="C58" s="6">
        <f>IRR(C57:G57)</f>
        <v>0.11093130430944353</v>
      </c>
      <c r="G58" s="8">
        <f t="shared" si="4"/>
        <v>1.523171547970154</v>
      </c>
    </row>
    <row r="60" spans="2:7" x14ac:dyDescent="0.3">
      <c r="B60" s="130" t="s">
        <v>234</v>
      </c>
      <c r="C60" s="130"/>
    </row>
    <row r="61" spans="2:7" x14ac:dyDescent="0.3">
      <c r="B61" s="2" t="s">
        <v>235</v>
      </c>
      <c r="C61" s="8">
        <f>C21</f>
        <v>16798.416000000001</v>
      </c>
    </row>
    <row r="62" spans="2:7" x14ac:dyDescent="0.3">
      <c r="B62" s="2" t="s">
        <v>236</v>
      </c>
      <c r="C62" s="8">
        <f>C31</f>
        <v>10079.0496</v>
      </c>
    </row>
    <row r="63" spans="2:7" x14ac:dyDescent="0.3">
      <c r="B63" s="2" t="s">
        <v>237</v>
      </c>
      <c r="C63" s="8">
        <f>C53</f>
        <v>6719.3664000000008</v>
      </c>
    </row>
    <row r="64" spans="2:7" x14ac:dyDescent="0.3">
      <c r="B64" s="2" t="s">
        <v>238</v>
      </c>
      <c r="C64" s="8">
        <f>C54</f>
        <v>10234.747720866642</v>
      </c>
    </row>
    <row r="65" spans="2:8" x14ac:dyDescent="0.3">
      <c r="B65" s="2" t="s">
        <v>239</v>
      </c>
      <c r="C65" s="8">
        <f>C55</f>
        <v>1.523171547970154</v>
      </c>
    </row>
    <row r="66" spans="2:8" ht="15" thickBot="1" x14ac:dyDescent="0.35">
      <c r="B66" s="100" t="s">
        <v>240</v>
      </c>
      <c r="C66" s="101">
        <f>C58</f>
        <v>0.11093130430944353</v>
      </c>
    </row>
    <row r="68" spans="2:8" x14ac:dyDescent="0.3">
      <c r="B68" s="130" t="s">
        <v>242</v>
      </c>
      <c r="C68" s="130"/>
      <c r="D68" s="130"/>
      <c r="E68" s="130"/>
      <c r="F68" s="130"/>
      <c r="G68" s="130"/>
      <c r="H68" s="130"/>
    </row>
    <row r="69" spans="2:8" x14ac:dyDescent="0.3">
      <c r="D69" s="128" t="s">
        <v>239</v>
      </c>
      <c r="E69" s="128"/>
      <c r="F69" s="128"/>
      <c r="G69" s="128"/>
      <c r="H69" s="128"/>
    </row>
    <row r="70" spans="2:8" x14ac:dyDescent="0.3">
      <c r="C70" s="102">
        <f>C66</f>
        <v>0.11093130430944353</v>
      </c>
      <c r="D70" s="103">
        <v>1.32</v>
      </c>
      <c r="E70" s="103">
        <v>1.42</v>
      </c>
      <c r="F70" s="103">
        <v>1.52</v>
      </c>
      <c r="G70" s="103">
        <v>1.62</v>
      </c>
      <c r="H70" s="103">
        <v>1.72</v>
      </c>
    </row>
    <row r="71" spans="2:8" x14ac:dyDescent="0.3">
      <c r="B71" s="129" t="s">
        <v>241</v>
      </c>
      <c r="C71" s="104">
        <v>0.5</v>
      </c>
      <c r="D71" s="13">
        <f t="dataTable" ref="D71:H75" dt2D="1" dtr="1" r1="C65" r2="C22"/>
        <v>0.1018162239224718</v>
      </c>
      <c r="E71" s="13">
        <v>0.1018162239224718</v>
      </c>
      <c r="F71" s="13">
        <v>0.1018162239224718</v>
      </c>
      <c r="G71" s="13">
        <v>0.1018162239224718</v>
      </c>
      <c r="H71" s="13">
        <v>0.1018162239224718</v>
      </c>
    </row>
    <row r="72" spans="2:8" x14ac:dyDescent="0.3">
      <c r="B72" s="129"/>
      <c r="C72" s="104">
        <v>0.55000000000000004</v>
      </c>
      <c r="D72" s="13">
        <v>0.10589521299983451</v>
      </c>
      <c r="E72" s="13">
        <v>0.10589521299983451</v>
      </c>
      <c r="F72" s="13">
        <v>0.10589521299983451</v>
      </c>
      <c r="G72" s="13">
        <v>0.10589521299983451</v>
      </c>
      <c r="H72" s="13">
        <v>0.10589521299983451</v>
      </c>
    </row>
    <row r="73" spans="2:8" x14ac:dyDescent="0.3">
      <c r="B73" s="129"/>
      <c r="C73" s="104">
        <v>0.6</v>
      </c>
      <c r="D73" s="13">
        <v>0.11093130430944353</v>
      </c>
      <c r="E73" s="13">
        <v>0.11093130430944353</v>
      </c>
      <c r="F73" s="13">
        <v>0.11093130430944353</v>
      </c>
      <c r="G73" s="13">
        <v>0.11093130430944353</v>
      </c>
      <c r="H73" s="13">
        <v>0.11093130430944353</v>
      </c>
    </row>
    <row r="74" spans="2:8" x14ac:dyDescent="0.3">
      <c r="B74" s="129"/>
      <c r="C74" s="104">
        <v>0.65</v>
      </c>
      <c r="D74" s="13">
        <v>0.11730728219194297</v>
      </c>
      <c r="E74" s="13">
        <v>0.11730728219194297</v>
      </c>
      <c r="F74" s="13">
        <v>0.11730728219194297</v>
      </c>
      <c r="G74" s="13">
        <v>0.11730728219194297</v>
      </c>
      <c r="H74" s="13">
        <v>0.11730728219194297</v>
      </c>
    </row>
    <row r="75" spans="2:8" x14ac:dyDescent="0.3">
      <c r="B75" s="129"/>
      <c r="C75" s="104">
        <v>0.7</v>
      </c>
      <c r="D75" s="13">
        <v>0.1256423588863087</v>
      </c>
      <c r="E75" s="13">
        <v>0.1256423588863087</v>
      </c>
      <c r="F75" s="13">
        <v>0.1256423588863087</v>
      </c>
      <c r="G75" s="13">
        <v>0.1256423588863087</v>
      </c>
      <c r="H75" s="13">
        <v>0.1256423588863087</v>
      </c>
    </row>
  </sheetData>
  <mergeCells count="9">
    <mergeCell ref="B68:H68"/>
    <mergeCell ref="D69:H69"/>
    <mergeCell ref="B71:B75"/>
    <mergeCell ref="B18:C18"/>
    <mergeCell ref="B30:C30"/>
    <mergeCell ref="B36:G36"/>
    <mergeCell ref="B46:C46"/>
    <mergeCell ref="B52:C52"/>
    <mergeCell ref="B60:C60"/>
  </mergeCells>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Données</vt:lpstr>
      <vt:lpstr>Tendance, prévision, FCFF</vt:lpstr>
      <vt:lpstr>WACC, DCF</vt:lpstr>
      <vt:lpstr>COMPARABLES</vt:lpstr>
      <vt:lpstr>LBO</vt:lpstr>
      <vt:lpstr>Marriott M&amp;A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Phan Nguyễn Hoàng Phúc</dc:creator>
  <cp:lastModifiedBy>Phan Nguyễn Hoàng Phúc</cp:lastModifiedBy>
  <cp:lastPrinted>2026-02-23T09:07:03Z</cp:lastPrinted>
  <dcterms:created xsi:type="dcterms:W3CDTF">2026-02-20T13:41:54Z</dcterms:created>
  <dcterms:modified xsi:type="dcterms:W3CDTF">2026-02-25T03:54:46Z</dcterms:modified>
</cp:coreProperties>
</file>