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HOANG PHUC\Downloads\"/>
    </mc:Choice>
  </mc:AlternateContent>
  <xr:revisionPtr revIDLastSave="0" documentId="13_ncr:1_{089A0075-D80E-4170-970F-C8D0F23BADBB}" xr6:coauthVersionLast="47" xr6:coauthVersionMax="47" xr10:uidLastSave="{00000000-0000-0000-0000-000000000000}"/>
  <bookViews>
    <workbookView xWindow="-108" yWindow="-108" windowWidth="23256" windowHeight="12456" firstSheet="4" activeTab="5" xr2:uid="{6D9B2E93-36CB-4C3D-987F-765648AC4625}"/>
  </bookViews>
  <sheets>
    <sheet name="Données" sheetId="3" r:id="rId1"/>
    <sheet name="Tendance, prévision, FCFF" sheetId="5" r:id="rId2"/>
    <sheet name="WACC, DCF" sheetId="6" r:id="rId3"/>
    <sheet name="COMPARABLES" sheetId="7" r:id="rId4"/>
    <sheet name="LBO" sheetId="12" r:id="rId5"/>
    <sheet name="Marriott M&amp;A" sheetId="1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4" l="1"/>
  <c r="D40" i="14"/>
  <c r="E40" i="14"/>
  <c r="F40" i="14"/>
  <c r="G40" i="14"/>
  <c r="C40" i="14"/>
  <c r="C21" i="14"/>
  <c r="C61" i="14" s="1"/>
  <c r="C9" i="14"/>
  <c r="C11" i="14" s="1"/>
  <c r="C15" i="14" s="1"/>
  <c r="C6" i="12"/>
  <c r="C12" i="12" s="1"/>
  <c r="C31" i="12" s="1"/>
  <c r="G30" i="7"/>
  <c r="F23" i="7"/>
  <c r="F22" i="7"/>
  <c r="F21" i="7"/>
  <c r="F20" i="7"/>
  <c r="F19" i="7"/>
  <c r="F18" i="7"/>
  <c r="F17" i="7"/>
  <c r="G4" i="7"/>
  <c r="H4" i="7"/>
  <c r="D17" i="7"/>
  <c r="E17" i="7"/>
  <c r="D18" i="7"/>
  <c r="E18" i="7"/>
  <c r="E19" i="7"/>
  <c r="E20" i="7"/>
  <c r="E21" i="7"/>
  <c r="E22" i="7"/>
  <c r="E23" i="7"/>
  <c r="D23" i="7"/>
  <c r="D19" i="7"/>
  <c r="D20" i="7"/>
  <c r="D21" i="7"/>
  <c r="D22" i="7"/>
  <c r="G8" i="7"/>
  <c r="H8" i="7"/>
  <c r="G9" i="7"/>
  <c r="H9" i="7"/>
  <c r="G10" i="7"/>
  <c r="H10" i="7"/>
  <c r="F81" i="5"/>
  <c r="G7" i="7"/>
  <c r="H5" i="7"/>
  <c r="H6" i="7"/>
  <c r="H7" i="7"/>
  <c r="G5" i="7"/>
  <c r="G6" i="7"/>
  <c r="H42" i="6"/>
  <c r="C32" i="6"/>
  <c r="C33" i="6" s="1"/>
  <c r="C34" i="6" s="1"/>
  <c r="E15" i="6"/>
  <c r="E18" i="6" s="1"/>
  <c r="F15" i="6"/>
  <c r="F18" i="6" s="1"/>
  <c r="G15" i="6"/>
  <c r="G18" i="6" s="1"/>
  <c r="D15" i="6"/>
  <c r="D18" i="6" s="1"/>
  <c r="B32" i="3"/>
  <c r="B31" i="3"/>
  <c r="C30" i="3"/>
  <c r="C33" i="3" s="1"/>
  <c r="D30" i="3"/>
  <c r="D33" i="3" s="1"/>
  <c r="E30" i="3"/>
  <c r="F30" i="3"/>
  <c r="F33" i="3" s="1"/>
  <c r="E33" i="3"/>
  <c r="C9" i="6"/>
  <c r="F85" i="5"/>
  <c r="F86" i="5" s="1"/>
  <c r="C82" i="5"/>
  <c r="C29" i="5"/>
  <c r="D82" i="5"/>
  <c r="E82" i="5"/>
  <c r="F82" i="5"/>
  <c r="D84" i="5"/>
  <c r="C83" i="5"/>
  <c r="E84" i="5"/>
  <c r="F84" i="5"/>
  <c r="C84" i="5"/>
  <c r="D83" i="5"/>
  <c r="E83" i="5"/>
  <c r="F83" i="5"/>
  <c r="D81" i="5"/>
  <c r="D85" i="5" s="1"/>
  <c r="D86" i="5" s="1"/>
  <c r="E81" i="5"/>
  <c r="E85" i="5" s="1"/>
  <c r="E86" i="5" s="1"/>
  <c r="C81" i="5"/>
  <c r="C85" i="5" s="1"/>
  <c r="C86" i="5" s="1"/>
  <c r="G80" i="5"/>
  <c r="H80" i="5" s="1"/>
  <c r="H82" i="5" s="1"/>
  <c r="D27" i="5"/>
  <c r="E27" i="5"/>
  <c r="F27" i="5"/>
  <c r="C27" i="5"/>
  <c r="C32" i="5"/>
  <c r="D31" i="5"/>
  <c r="E31" i="5"/>
  <c r="F31" i="5"/>
  <c r="C31" i="5"/>
  <c r="D30" i="5"/>
  <c r="E30" i="5"/>
  <c r="F30" i="5"/>
  <c r="C30" i="5"/>
  <c r="D29" i="5"/>
  <c r="E29" i="5"/>
  <c r="F29" i="5"/>
  <c r="D28" i="5"/>
  <c r="E28" i="5"/>
  <c r="F28" i="5"/>
  <c r="C28" i="5"/>
  <c r="D26" i="5"/>
  <c r="E26" i="5"/>
  <c r="F26" i="5"/>
  <c r="C26" i="5"/>
  <c r="E7" i="3"/>
  <c r="C11" i="3"/>
  <c r="C13" i="3" s="1"/>
  <c r="D11" i="3"/>
  <c r="D13" i="3" s="1"/>
  <c r="B11" i="3"/>
  <c r="E9" i="3"/>
  <c r="E11" i="3" s="1"/>
  <c r="E13" i="3" s="1"/>
  <c r="C27" i="14" l="1"/>
  <c r="C31" i="14"/>
  <c r="C32" i="14" s="1"/>
  <c r="C45" i="12"/>
  <c r="C16" i="12"/>
  <c r="G21" i="7"/>
  <c r="G22" i="7"/>
  <c r="H17" i="7"/>
  <c r="C25" i="7"/>
  <c r="G29" i="7" s="1"/>
  <c r="G31" i="7" s="1"/>
  <c r="G33" i="7" s="1"/>
  <c r="G20" i="7"/>
  <c r="G18" i="7"/>
  <c r="G23" i="7"/>
  <c r="G17" i="7"/>
  <c r="H18" i="7"/>
  <c r="H19" i="7"/>
  <c r="G19" i="7"/>
  <c r="H23" i="7"/>
  <c r="H22" i="7"/>
  <c r="H21" i="7"/>
  <c r="H20" i="7"/>
  <c r="B30" i="3"/>
  <c r="B33" i="3" s="1"/>
  <c r="G82" i="5"/>
  <c r="C37" i="6"/>
  <c r="I80" i="5"/>
  <c r="I82" i="5" s="1"/>
  <c r="H83" i="5"/>
  <c r="H81" i="5"/>
  <c r="H85" i="5" s="1"/>
  <c r="H84" i="5"/>
  <c r="G81" i="5"/>
  <c r="G84" i="5"/>
  <c r="G83" i="5"/>
  <c r="D14" i="3"/>
  <c r="D15" i="3" s="1"/>
  <c r="C14" i="3"/>
  <c r="C15" i="3" s="1"/>
  <c r="B14" i="3"/>
  <c r="B15" i="3" s="1"/>
  <c r="E14" i="3"/>
  <c r="E15" i="3" s="1"/>
  <c r="C33" i="14" l="1"/>
  <c r="C53" i="14"/>
  <c r="C38" i="14"/>
  <c r="C62" i="14"/>
  <c r="C23" i="12"/>
  <c r="C25" i="12" s="1"/>
  <c r="C26" i="12" s="1"/>
  <c r="C27" i="12" s="1"/>
  <c r="D23" i="12" s="1"/>
  <c r="C46" i="12"/>
  <c r="C17" i="12"/>
  <c r="C29" i="7"/>
  <c r="C31" i="7" s="1"/>
  <c r="C33" i="7" s="1"/>
  <c r="G85" i="5"/>
  <c r="G86" i="5" s="1"/>
  <c r="H86" i="5"/>
  <c r="H43" i="6"/>
  <c r="F43" i="6"/>
  <c r="C43" i="6"/>
  <c r="E43" i="6"/>
  <c r="G43" i="6"/>
  <c r="D43" i="6"/>
  <c r="J80" i="5"/>
  <c r="J82" i="5" s="1"/>
  <c r="I84" i="5"/>
  <c r="I83" i="5"/>
  <c r="I81" i="5"/>
  <c r="I85" i="5" s="1"/>
  <c r="I86" i="5" s="1"/>
  <c r="C41" i="14" l="1"/>
  <c r="C57" i="14"/>
  <c r="C63" i="14"/>
  <c r="C18" i="12"/>
  <c r="C37" i="12"/>
  <c r="D25" i="12"/>
  <c r="D26" i="12" s="1"/>
  <c r="D27" i="12" s="1"/>
  <c r="E23" i="12" s="1"/>
  <c r="C44" i="6"/>
  <c r="C49" i="6" s="1"/>
  <c r="K80" i="5"/>
  <c r="K82" i="5" s="1"/>
  <c r="J83" i="5"/>
  <c r="J84" i="5"/>
  <c r="J81" i="5"/>
  <c r="J85" i="5" s="1"/>
  <c r="J86" i="5" s="1"/>
  <c r="D38" i="14" l="1"/>
  <c r="C42" i="14"/>
  <c r="C43" i="14" s="1"/>
  <c r="C41" i="12"/>
  <c r="C47" i="12"/>
  <c r="E25" i="12"/>
  <c r="E26" i="12" s="1"/>
  <c r="E27" i="12" s="1"/>
  <c r="F23" i="12" s="1"/>
  <c r="C51" i="6"/>
  <c r="B56" i="6" s="1"/>
  <c r="K81" i="5"/>
  <c r="K85" i="5" s="1"/>
  <c r="K84" i="5"/>
  <c r="K83" i="5"/>
  <c r="D41" i="14" l="1"/>
  <c r="D42" i="14" s="1"/>
  <c r="D43" i="14" s="1"/>
  <c r="E38" i="14" s="1"/>
  <c r="F25" i="12"/>
  <c r="F26" i="12" s="1"/>
  <c r="F27" i="12" s="1"/>
  <c r="G23" i="12" s="1"/>
  <c r="G25" i="12" s="1"/>
  <c r="G26" i="12" s="1"/>
  <c r="G27" i="12" s="1"/>
  <c r="C32" i="12" s="1"/>
  <c r="C33" i="12" s="1"/>
  <c r="C38" i="12" s="1"/>
  <c r="K86" i="5"/>
  <c r="E41" i="14" l="1"/>
  <c r="E42" i="14" s="1"/>
  <c r="E43" i="14" s="1"/>
  <c r="F38" i="14" s="1"/>
  <c r="G41" i="12"/>
  <c r="C42" i="12" s="1"/>
  <c r="C50" i="12" s="1"/>
  <c r="C54" i="12" s="1"/>
  <c r="C48" i="12"/>
  <c r="C39" i="12"/>
  <c r="C49" i="12" s="1"/>
  <c r="F41" i="14" l="1"/>
  <c r="F42" i="14" s="1"/>
  <c r="F43" i="14" s="1"/>
  <c r="G38" i="14" s="1"/>
  <c r="G41" i="14" l="1"/>
  <c r="G42" i="14" s="1"/>
  <c r="G43" i="14" s="1"/>
  <c r="C48" i="14" s="1"/>
  <c r="C49" i="14" s="1"/>
  <c r="C54" i="14" s="1"/>
  <c r="G57" i="14" l="1"/>
  <c r="C58" i="14" s="1"/>
  <c r="C66" i="14" s="1"/>
  <c r="C70" i="14" s="1"/>
  <c r="C55" i="14"/>
  <c r="C64" i="14"/>
  <c r="C65" i="14" l="1"/>
  <c r="G58" i="14"/>
</calcChain>
</file>

<file path=xl/sharedStrings.xml><?xml version="1.0" encoding="utf-8"?>
<sst xmlns="http://schemas.openxmlformats.org/spreadsheetml/2006/main" count="462" uniqueCount="259">
  <si>
    <t>FCFF</t>
  </si>
  <si>
    <t>Dotation aux amortissement (D&amp;A)</t>
  </si>
  <si>
    <t>P&amp;L</t>
  </si>
  <si>
    <t>Revenue (Chiffres d'affaires)</t>
  </si>
  <si>
    <t>CAPEX</t>
  </si>
  <si>
    <t>Balance Sheet</t>
  </si>
  <si>
    <t>Cash (Trésorie et esquivalents de trésorie)</t>
  </si>
  <si>
    <t xml:space="preserve">Gross Debt </t>
  </si>
  <si>
    <t>Nette debt = Gross Debt - Cash</t>
  </si>
  <si>
    <t>6.1.3 État de la situation financière</t>
  </si>
  <si>
    <t>6.1.1 Compte de résultat consolidé</t>
  </si>
  <si>
    <t>Résulat financier</t>
  </si>
  <si>
    <t>Impôt sur les résulats</t>
  </si>
  <si>
    <t>Résulat opérationne= Résulat d'exploitation après résulats des mises en esquivalence + produits et charges non courrants = Résultat d'exploitation courant + Quote-part + produits et charges non courant =  EBITDA + D&amp;A + Quote-part + produits et charges non courant</t>
  </si>
  <si>
    <t>EBIT (Résultat opérationnel avec quote-part)</t>
  </si>
  <si>
    <t>Résultat avant impôts</t>
  </si>
  <si>
    <t>Taux d'impôt sur société(réelle)</t>
  </si>
  <si>
    <t>Taux d'impôt standarisé</t>
  </si>
  <si>
    <t>On néglige les années anormales (2021 et 2023)</t>
  </si>
  <si>
    <t>Chiffres d'affaires - Charges d'exploitation courantes</t>
  </si>
  <si>
    <t>Ecart de taux</t>
  </si>
  <si>
    <t>CAPEX (Acquisitions d'immobilisations corporelles et incorporelles)</t>
  </si>
  <si>
    <t>Lease payments (Remboursement de la dette de loyers (hors intérêts))</t>
  </si>
  <si>
    <t>EBITDA (EBE courant)</t>
  </si>
  <si>
    <t>CFO (Flux de trésorie liés aux activités opérationnelles (A))</t>
  </si>
  <si>
    <t>6.1.4 Tableau des flux de trésorie</t>
  </si>
  <si>
    <t>4.4 Besoin en Fonds de Roulement</t>
  </si>
  <si>
    <t>BFR</t>
  </si>
  <si>
    <t>BFR(Besoin en fonds de roulement avec effet de trésorie)</t>
  </si>
  <si>
    <t>ΔBFR (Variations du besoin en fonds de roulement sans effet de trésorie)</t>
  </si>
  <si>
    <t>!!!Pour calculer de variations de BFR 2024, on va utiliser les données des derniers états financiers</t>
  </si>
  <si>
    <t>!!!Comme 2024, Accor reconstruit l'entreprise. Elle a donc aujusté la valeur de BFR 2023 à - 49 au lieu de -109 comme dans états financiers 2024, mais on enregistre la valeur de BFR 2023 indiqué dans ceux de 2023</t>
  </si>
  <si>
    <t>Cash Flow Statement</t>
  </si>
  <si>
    <t>Ratios</t>
  </si>
  <si>
    <t>EBITDA Marginale</t>
  </si>
  <si>
    <t xml:space="preserve">ΔBFR </t>
  </si>
  <si>
    <t xml:space="preserve">Lease payments </t>
  </si>
  <si>
    <t>ΔBFR</t>
  </si>
  <si>
    <t>CFO</t>
  </si>
  <si>
    <t xml:space="preserve">CAPEX </t>
  </si>
  <si>
    <t>Commentaires de tendance analytique</t>
  </si>
  <si>
    <t>Une augmentation de CAPEAX de 2021 (80 M euros) à 2024 (293 M euros) en fonction de l'investissement de l'acquisition pour élargir l'échellle</t>
  </si>
  <si>
    <t>Une amélioration de EBITDA marginale de 2021 (10%) à 2024 (20%), ce qui confirme un revient au état normal.Cela indique que les activités des entreprises relance progressivement après Covid-19</t>
  </si>
  <si>
    <t>Cela cohérence avec ΔBFR % Revenue  diminue beaucoup de 2021 à 2023, mais retourne de 2023 à 2024</t>
  </si>
  <si>
    <t>Analyse de la tendance</t>
  </si>
  <si>
    <t>Prévision de 5 ans (de 2025 à 2029)</t>
  </si>
  <si>
    <t xml:space="preserve"> </t>
  </si>
  <si>
    <t>1. Le taux de croissance de Accor a tendance à diminuer à partir de la fin de 2022 après la reprise de Covid-19 . Jus'quà 2024, il atteint 10.88%, mais il ne peut pas maintenir définitivement.</t>
  </si>
  <si>
    <t>A. La croissance de revenue</t>
  </si>
  <si>
    <t xml:space="preserve">et Luxe&amp;Lifestyle augmente de 7.3% (Lux:7.0%, Lifestyle: 8.6%) </t>
  </si>
  <si>
    <t xml:space="preserve">2.Selon Guifance de l'entreprise. Dans états financiers 2025 de Accor, il mention que le RevPAR total  va augementer de 4.2% par raport de 2024 où premium, mid.&amp;Eco augmente de 2.7% </t>
  </si>
  <si>
    <t>1. Normalisation: À partir de 2022, EBITDA Marginale rest entre 19.8% et 20%. Cela indique que l’entreprise a achevé son processus de reprise et qu’elle opère désormais dans un état de « nouvelle normalité ».</t>
  </si>
  <si>
    <t>À l’inverse, une forte volatilité de la marge serait atypique pour ce type d’activité.</t>
  </si>
  <si>
    <t>2. Spécificités du secteur : Avec un modèle asset-light comme celui d’Accor (principalement basé sur la gestion et la franchise), une marge d’EBITDA élevée et stable est normale</t>
  </si>
  <si>
    <t>IL est raisonnable de retenir une marge constante de 20 % sur l’ensemble de la période de projection. Cette hypothèse est couramment utilisée pour les entreprises matures.</t>
  </si>
  <si>
    <t>https://group.accor.com/fr/finance/periodic-information</t>
  </si>
  <si>
    <t xml:space="preserve">3. Point de vue prudent: La principe prudent de Investment Banking me posse à choisir le taux de croissance entre 3.5% et 4.5% pour 2025, ce qui est plus élevé que le taux de croissance espéré de PIB de la zone euro (environ de 1.5% et 2.5%). </t>
  </si>
  <si>
    <t>B. EBITA mariginal (20%)</t>
  </si>
  <si>
    <t>CAPEX % Revenu</t>
  </si>
  <si>
    <t>BFR % Revenu</t>
  </si>
  <si>
    <t>ΔBFR % Revenu</t>
  </si>
  <si>
    <t>1. le ratio CAPEX/Chiffre d’affaires d’Accor au cours des trois dernières années (2022-2024) a fluctué très légèrement autour de 5,1 %.</t>
  </si>
  <si>
    <t>2. En tant qu’entreprise asset-light, Accor n’a pas besoin d’investir massivement dans la construction de nouveaux hôtels. Les dépenses d’investissement concernent principalement la maintenance, la rénovation et les systèmes informatiques (IT, logiciels).</t>
  </si>
  <si>
    <t>un ratio de CAPEX faible et stable est cohérent avec la nature de son activité.</t>
  </si>
  <si>
    <t>un ratio de 5,1 % pour les années de projection, en me basant sur la moyenne observée sur les trois dernières années. Il s’agit d’une approche « rule-based », fondée sur les données historiques, et non d’une hypothèse arbitraire.</t>
  </si>
  <si>
    <t>C. CAPEX % Revenu(5.1%)</t>
  </si>
  <si>
    <t>D&amp;A % Revenu</t>
  </si>
  <si>
    <t>Revenu</t>
  </si>
  <si>
    <t>EBITDA marginal</t>
  </si>
  <si>
    <t>BFR% Revenu et  ΔBFR % Revenu</t>
  </si>
  <si>
    <t>Une forte acroit de BFR % Revenu de 2021 à 2022, ce qui aborde un investissement massif de reprise des activités d'exploitation après crise. Et BFR%Revenu a tendance de diminue de 2022 à 2024</t>
  </si>
  <si>
    <t>Une diminuation de Amortissation % Revenue à partir de 2022, ce qui maintenant environ de 5.5% et 6%</t>
  </si>
  <si>
    <t>D. Dotation aux amortissements % Revenu (5.8%)</t>
  </si>
  <si>
    <t>1. le ratio D&amp;A/Chiffre d’affaires d’Accor a évolué dans une fourchette étroite comprise entre 5,5 % et 6,1 % (soit une moyenne d’environ 5,8 %).</t>
  </si>
  <si>
    <t>2.  Cette stabilité reflète le modèle asset-light du groupe, dans lequel les actifs fixes — et donc les dotations aux amortissements et dépréciations — progressent de manière relativement proportionnelle et stable avec l’échelle de l’activité.</t>
  </si>
  <si>
    <t>l’hypothèse d’un ratio D&amp;A/Chiffre d’affaires constant à 5,8 % sur la période de projection 2025-2029</t>
  </si>
  <si>
    <t>En tant que groupe opérant selon un modèle asset-light, Accor ne détient pas la majorité des actifs hôteliers et perçoit principalement des frais de gestion et de franchise. Par conséquent, le besoin en fonds de roulement (BFR) de l’entreprise est structurellement faible et peu volatil au fil des années</t>
  </si>
  <si>
    <t>Ces variations s’expliquent principalement par des effets de décalage de paiement (timing differences) plutôt que par une modification fondamentale du modèle économique. À long terme, l’impact des variations du BFR sur les flux de trésorerie demeure donc marginal.</t>
  </si>
  <si>
    <t>Taux de croissance de revenu annuel</t>
  </si>
  <si>
    <t>Taux de croissance de revenu annuel de 4 ans</t>
  </si>
  <si>
    <t>EBITDA</t>
  </si>
  <si>
    <t>D&amp;A</t>
  </si>
  <si>
    <t>Colonne1</t>
  </si>
  <si>
    <t>2021</t>
  </si>
  <si>
    <t>2022</t>
  </si>
  <si>
    <t>2023</t>
  </si>
  <si>
    <t>2024</t>
  </si>
  <si>
    <t>2025</t>
  </si>
  <si>
    <t>2026</t>
  </si>
  <si>
    <t>2027</t>
  </si>
  <si>
    <t>2028</t>
  </si>
  <si>
    <t>2029</t>
  </si>
  <si>
    <t>E.  ΔBFR % Revenu (0.05%)</t>
  </si>
  <si>
    <t>Nous retenons l’hypothèse ΔBFR = 0.05% de renvenu sur la période de projection 2025-2029 pour éviter le cas extrême</t>
  </si>
  <si>
    <t>Taux d'impôt sur société standarisé (25%)</t>
  </si>
  <si>
    <t>EBIT = EBITDA - D&amp;A</t>
  </si>
  <si>
    <t xml:space="preserve">FCFF = EBIT * (1-taxe) + D&amp;A - CAPEX - ΔBFR </t>
  </si>
  <si>
    <t>en %</t>
  </si>
  <si>
    <t>En milions dollars</t>
  </si>
  <si>
    <t>2020</t>
  </si>
  <si>
    <t>En %</t>
  </si>
  <si>
    <t>Au cours du calcul du FCFF sur la période 2021-2024, nous avons constaté des écarts par rapport aux montants présentés dans les états financiers d’Accor.</t>
  </si>
  <si>
    <t>Attention</t>
  </si>
  <si>
    <t xml:space="preserve"> La principale raison tient au fait que nous avons initialement utilisé un EBIT incluant la « quote-part dans les résultats des sociétés mises en équivalence » ainsi que les « produits et charges non courants ».</t>
  </si>
  <si>
    <t>Or, la quote-part correspond à des résultats non nécessairement encaissés en trésorerie, tandis que les éléments non courants sont exceptionnels et non récurrents.</t>
  </si>
  <si>
    <t xml:space="preserve">Dans le cadre du modèle DCF, nous avons donc choisi d’exclure entièrement ces deux composantes afin de nous concentrer sur le cœur d’activité (core business) générateur de flux de trésorerie prévisibles. </t>
  </si>
  <si>
    <t>Cette approche est conforme aux principes standards de la valorisation par DCF, qui privilégient les performances opérationnelles récurrentes et soutenables.</t>
  </si>
  <si>
    <t>β beta</t>
  </si>
  <si>
    <t>https://pages.stern.nyu.edu/~adamodar/New_Home_Page/datafile/ctryprem.html</t>
  </si>
  <si>
    <t>Source</t>
  </si>
  <si>
    <t>Valeur</t>
  </si>
  <si>
    <t>https://fr.finance.yahoo.com/quote/AC.PA/</t>
  </si>
  <si>
    <t>OAT 10 ans</t>
  </si>
  <si>
    <t>rf (taux sans risque)</t>
  </si>
  <si>
    <t>Cout de dette</t>
  </si>
  <si>
    <t>Cout de capital</t>
  </si>
  <si>
    <t>rf + β * ERP</t>
  </si>
  <si>
    <t>Cout de capital re</t>
  </si>
  <si>
    <t>Intérêts des emprunts obligataires et bancaires</t>
  </si>
  <si>
    <t>Cout de dette (États financiers)</t>
  </si>
  <si>
    <t xml:space="preserve"> Intérêts des emprunts obligataires et bancaires</t>
  </si>
  <si>
    <t>6. 11.1. Résultat financier</t>
  </si>
  <si>
    <t>Attention: Pour 2020, montant retraités dans le cardre de l'allocation du prix d'acquisition de SBE acquis en 2020. On utilise donc, données 2020 dans États financiers 2020</t>
  </si>
  <si>
    <t xml:space="preserve">    Dettes financières non courantes (Long-term financial debt)</t>
  </si>
  <si>
    <t xml:space="preserve">    Dettes financièrees courantes(Short-term financial debt)</t>
  </si>
  <si>
    <t>6.11.3.2. Risque de taux</t>
  </si>
  <si>
    <t>Gross Debt moyenne</t>
  </si>
  <si>
    <t>Cout de dette (Calcul)</t>
  </si>
  <si>
    <t xml:space="preserve">re (Cout de capital) </t>
  </si>
  <si>
    <t>Commentaire: Comme le cout de dette annoncé dans états financiers et calcul à la maine a teandance à augmenter annuellement</t>
  </si>
  <si>
    <t>Cout de dette (états financiers)</t>
  </si>
  <si>
    <t>Le coût de la dette (Rd) est estimé sur la base du rendement des obligations d’entreprise à maturité 7-10 ans émises par des sociétés présentant une notation de crédit comparable à celle d’Accor (BBB-),</t>
  </si>
  <si>
    <t>Dans la période de projection, nous supposons que les dettes arrivant à maturité seront refinancées à des taux plus élevés, en cohérence avec l’environnement actuel de taux et les anticipations de marché.</t>
  </si>
  <si>
    <t>Bien que le coût moyen de la dette en 2024 ne s’élève qu’à 2,53 % dans états financiers ou à 3.5% de calcul à la maine, ce niveau reflète principalement des dettes émises durant la période de taux bas.</t>
  </si>
  <si>
    <t>en tenant compte également de la tendance à la hausse des taux d’intérêt dans un contexte de politique monétaire restrictive au sein de la zone euro.</t>
  </si>
  <si>
    <t>Donc, on prévoit que le cout de dette peut augmenter de 4% à 5% dans 5 ans suivantes. On va prendre la moyenne de 4.5% pour rendre l'analyse plus simple</t>
  </si>
  <si>
    <t>Structure de capital et de dette</t>
  </si>
  <si>
    <t>Capital propres (E)</t>
  </si>
  <si>
    <t>Capitaux Propres</t>
  </si>
  <si>
    <t>Valuer total = D + E</t>
  </si>
  <si>
    <t>D/V</t>
  </si>
  <si>
    <t>E/V</t>
  </si>
  <si>
    <t>WACC = E/V * re + D/V*rd*(1-t)</t>
  </si>
  <si>
    <t>WACC</t>
  </si>
  <si>
    <t>ERP (Prime de risque du marché - France)</t>
  </si>
  <si>
    <t>DCF</t>
  </si>
  <si>
    <t>Valeur actualisée</t>
  </si>
  <si>
    <t>Valeur terminale</t>
  </si>
  <si>
    <t>Valeur d'entreprise</t>
  </si>
  <si>
    <t>…</t>
  </si>
  <si>
    <t>Valeur de capitaux propres</t>
  </si>
  <si>
    <t>Taux de croissance de revenu à long terme</t>
  </si>
  <si>
    <t>11.2.1. Dette financière nette</t>
  </si>
  <si>
    <t>13.1.1 Évolution du capital</t>
  </si>
  <si>
    <t>Valeur de chaque action</t>
  </si>
  <si>
    <t>Sensibilité</t>
  </si>
  <si>
    <t>g</t>
  </si>
  <si>
    <t>Nette dette (D)</t>
  </si>
  <si>
    <t>Dette financière nette(IFRS 6)</t>
  </si>
  <si>
    <t>Entreprise</t>
  </si>
  <si>
    <t>Hyatt Hotels</t>
  </si>
  <si>
    <t>Ticket</t>
  </si>
  <si>
    <t>HLT</t>
  </si>
  <si>
    <t>WH</t>
  </si>
  <si>
    <t>Dette Nette</t>
  </si>
  <si>
    <t>EV/EBITDA</t>
  </si>
  <si>
    <t>EV</t>
  </si>
  <si>
    <t>Une augementation de revenu annuel de 2021 (2024 M euros) à 2024  (5606 M euros), avec une taux de 26,3% croissance annuel.  Notamment, le taux de revenu a accru beaucoup de 2021 à 2022 (de 91.65%)</t>
  </si>
  <si>
    <t xml:space="preserve"> ce qui travduit par une expansion après la crise. Mais cette tendance a diminué continuellement de 2022 à 2024</t>
  </si>
  <si>
    <t>Market Cap</t>
  </si>
  <si>
    <t>USD</t>
  </si>
  <si>
    <t>Unité</t>
  </si>
  <si>
    <t>Valuation Measures 10/02/2025</t>
  </si>
  <si>
    <t>Whitbread PLC</t>
  </si>
  <si>
    <t>WTB</t>
  </si>
  <si>
    <t>https://finance.yahoo.com/quote/WTB.L/</t>
  </si>
  <si>
    <t>https://finance.yahoo.com/quote/H/</t>
  </si>
  <si>
    <t>Valuation Measures 10/03/2025</t>
  </si>
  <si>
    <t>Millions dollar</t>
  </si>
  <si>
    <t>Millions euros</t>
  </si>
  <si>
    <t>1USD/EUR</t>
  </si>
  <si>
    <t>EUR</t>
  </si>
  <si>
    <t>Médian de EV/EBITDA</t>
  </si>
  <si>
    <t xml:space="preserve">EBITA </t>
  </si>
  <si>
    <t>Market cap</t>
  </si>
  <si>
    <t>Prix d'action</t>
  </si>
  <si>
    <t>Nombre d'action</t>
  </si>
  <si>
    <t>Nombre d'actions au 31 décembre 2024</t>
  </si>
  <si>
    <t>VE potentiel</t>
  </si>
  <si>
    <t>Information Accor  (états financiers 2024)  (euros)</t>
  </si>
  <si>
    <t>Information Accor  (Prévison 2025)  (euros)</t>
  </si>
  <si>
    <t xml:space="preserve"> Et il diminuera ensuite à 1.5% - c'est la croissance durable pour une grande entreprise défensive comme Accor</t>
  </si>
  <si>
    <t>Choice Hotels International</t>
  </si>
  <si>
    <t>CHH</t>
  </si>
  <si>
    <t>https://finance.yahoo.com/quote/CHH/</t>
  </si>
  <si>
    <t>Wyndham Hotels &amp; Resorts</t>
  </si>
  <si>
    <t>https://fr.finance.yahoo.com/quote/WH/</t>
  </si>
  <si>
    <t>https://finance.yahoo.com/quote/HTHT/</t>
  </si>
  <si>
    <t>H World Group Ltd</t>
  </si>
  <si>
    <t>HTHT</t>
  </si>
  <si>
    <t>HST</t>
  </si>
  <si>
    <t>Host Hotels &amp; Resorts</t>
  </si>
  <si>
    <t>https://finance.yahoo.com/quote/HST/</t>
  </si>
  <si>
    <t>Shangri-La Asia Limited</t>
  </si>
  <si>
    <t>SHALY</t>
  </si>
  <si>
    <t>https://finance.yahoo.com/quote/0069.HK/</t>
  </si>
  <si>
    <t>Valuation Measures 16/02/2025</t>
  </si>
  <si>
    <t>Hypothèse</t>
  </si>
  <si>
    <t>EBITDA 2025 (DCF)</t>
  </si>
  <si>
    <t>EBITDA 2029 (DCF)</t>
  </si>
  <si>
    <t>Dette</t>
  </si>
  <si>
    <t>Intérêt</t>
  </si>
  <si>
    <t>FCFF après intérêt</t>
  </si>
  <si>
    <t>Hypothèse d'entrée</t>
  </si>
  <si>
    <t>Valeur d'entreprise d'entrée</t>
  </si>
  <si>
    <t>Valeur d'entreprise du rachat</t>
  </si>
  <si>
    <t>Taux d'endettement</t>
  </si>
  <si>
    <t>Taux d'intérêt d'endettement</t>
  </si>
  <si>
    <t>Durée de détention (année)</t>
  </si>
  <si>
    <t>Multiple de sortie</t>
  </si>
  <si>
    <t>Structure du financement</t>
  </si>
  <si>
    <t>Fonds propres</t>
  </si>
  <si>
    <t>Total de sources</t>
  </si>
  <si>
    <t>Calendrier de remboursement de la dette</t>
  </si>
  <si>
    <t>Dette début de période</t>
  </si>
  <si>
    <t>Dette fin de période</t>
  </si>
  <si>
    <t>Calcul de la sortie</t>
  </si>
  <si>
    <t>Valeur d'entreprise de sortie</t>
  </si>
  <si>
    <t>Dette fin 2020</t>
  </si>
  <si>
    <t>Fonds propres de sortie</t>
  </si>
  <si>
    <t>Rendement pour l'investisseur</t>
  </si>
  <si>
    <t>Fonds propres investis</t>
  </si>
  <si>
    <t>Fonds propres récupérés</t>
  </si>
  <si>
    <t>Multiple (MOIC)</t>
  </si>
  <si>
    <t>TRI (IRR)</t>
  </si>
  <si>
    <t>Synthèse de l'opération LBO</t>
  </si>
  <si>
    <t>Prix d'acquisition</t>
  </si>
  <si>
    <t>Dette mise en place</t>
  </si>
  <si>
    <t>Fonds propres apportés</t>
  </si>
  <si>
    <t>Fonds propres récupérés (5 ans)</t>
  </si>
  <si>
    <t>MOIC</t>
  </si>
  <si>
    <t>TRI</t>
  </si>
  <si>
    <t>taux d'endettement</t>
  </si>
  <si>
    <t>Sensibilité de TRI</t>
  </si>
  <si>
    <t xml:space="preserve"> 13,998.68 </t>
  </si>
  <si>
    <t>Frais du rachat</t>
  </si>
  <si>
    <t>Millions USD</t>
  </si>
  <si>
    <t>Millions EUR</t>
  </si>
  <si>
    <t>EBITDA Marriott (2024)</t>
  </si>
  <si>
    <t xml:space="preserve">EBITDA Accor (2024) </t>
  </si>
  <si>
    <t>EBITDA Total</t>
  </si>
  <si>
    <t>Synergies</t>
  </si>
  <si>
    <t>Effet de synergies</t>
  </si>
  <si>
    <t xml:space="preserve">Si Marriott acquiert Accor, l'EBITDA combiné atteindrait environ 5,3 Mds€. </t>
  </si>
  <si>
    <t xml:space="preserve">Avec un taux de synergies raisonnable de 3%, cela représenterait près de 160 M€ d'EBITDA supplémentaire par an, </t>
  </si>
  <si>
    <t>améliorant significativement la rentabilité et la création de valeur post-acquisition</t>
  </si>
  <si>
    <t>FCFF avec synergies</t>
  </si>
  <si>
    <t>FCFF sans synergies</t>
  </si>
  <si>
    <t>FCFF après intérêt (avec synergies)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</si>
</sst>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8" formatCode="0.000%"/>
    <numFmt numFmtId="171" formatCode="0.000000%"/>
    <numFmt numFmtId="174" formatCode="_(* #,##0.000_);_(* \(#,##0.000\);_(* &quot;-&quot;??_);_(@_)"/>
  </numFmts>
  <fonts count="19"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9"/>
      <color rgb="FF0F1115"/>
      <name val="Segoe UI"/>
      <family val="2"/>
    </font>
    <font>
      <i/>
      <sz val="11"/>
      <color theme="1"/>
      <name val="Aptos Narrow"/>
      <family val="2"/>
      <scheme val="minor"/>
    </font>
    <font>
      <u/>
      <sz val="11"/>
      <color theme="10"/>
      <name val="Aptos Narrow"/>
      <family val="2"/>
      <scheme val="minor"/>
    </font>
    <font>
      <sz val="10"/>
      <color rgb="FF0F1115"/>
      <name val="Segoe UI"/>
      <family val="2"/>
    </font>
    <font>
      <sz val="11"/>
      <name val="Aptos Narrow"/>
      <family val="2"/>
      <scheme val="minor"/>
    </font>
    <font>
      <b/>
      <sz val="11"/>
      <name val="Aptos Narrow"/>
      <family val="2"/>
      <scheme val="minor"/>
    </font>
    <font>
      <sz val="11"/>
      <color theme="1"/>
      <name val="Aptos Display"/>
      <family val="2"/>
      <scheme val="major"/>
    </font>
    <font>
      <i/>
      <sz val="11"/>
      <color theme="1"/>
      <name val="Aptos Display"/>
      <family val="2"/>
      <scheme val="major"/>
    </font>
    <font>
      <sz val="11"/>
      <color rgb="FF0F1115"/>
      <name val="Aptos Display"/>
      <family val="2"/>
      <scheme val="major"/>
    </font>
    <font>
      <sz val="11"/>
      <color rgb="FF232A31"/>
      <name val="Aptos Display"/>
      <family val="2"/>
      <scheme val="major"/>
    </font>
    <font>
      <u/>
      <sz val="11"/>
      <color theme="10"/>
      <name val="Aptos Display"/>
      <family val="2"/>
      <scheme val="major"/>
    </font>
    <font>
      <b/>
      <sz val="11"/>
      <color theme="0"/>
      <name val="Aptos Display"/>
      <family val="2"/>
      <scheme val="major"/>
    </font>
    <font>
      <b/>
      <sz val="11"/>
      <color theme="1"/>
      <name val="Aptos Display"/>
      <family val="2"/>
      <scheme val="major"/>
    </font>
    <font>
      <b/>
      <i/>
      <sz val="11"/>
      <color theme="1"/>
      <name val="Aptos Display"/>
      <family val="2"/>
      <scheme val="major"/>
    </font>
  </fonts>
  <fills count="11">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0" tint="-0.149998474074526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cellStyleXfs>
  <cellXfs count="148">
    <xf numFmtId="0" fontId="0" fillId="0" borderId="0" xfId="0"/>
    <xf numFmtId="0" fontId="0" fillId="0" borderId="0" xfId="0" applyAlignment="1">
      <alignment horizontal="center"/>
    </xf>
    <xf numFmtId="0" fontId="5" fillId="0" borderId="0" xfId="0" applyFont="1"/>
    <xf numFmtId="0" fontId="3" fillId="0" borderId="0" xfId="0" applyFont="1" applyAlignment="1">
      <alignment horizontal="center"/>
    </xf>
    <xf numFmtId="0" fontId="3" fillId="0" borderId="0" xfId="0" applyFont="1" applyAlignment="1">
      <alignment horizontal="center"/>
    </xf>
    <xf numFmtId="43" fontId="0" fillId="0" borderId="0" xfId="1" applyFont="1"/>
    <xf numFmtId="0" fontId="0" fillId="5" borderId="0" xfId="0" applyFill="1"/>
    <xf numFmtId="10" fontId="0" fillId="0" borderId="0" xfId="0" applyNumberFormat="1"/>
    <xf numFmtId="9" fontId="0" fillId="0" borderId="0" xfId="0" applyNumberFormat="1"/>
    <xf numFmtId="43" fontId="0" fillId="0" borderId="0" xfId="0" applyNumberFormat="1"/>
    <xf numFmtId="0" fontId="8" fillId="0" borderId="0" xfId="0" applyFont="1"/>
    <xf numFmtId="0" fontId="7" fillId="0" borderId="0" xfId="3"/>
    <xf numFmtId="0" fontId="3" fillId="2" borderId="8" xfId="0" applyFont="1" applyFill="1" applyBorder="1" applyAlignment="1">
      <alignment horizontal="center"/>
    </xf>
    <xf numFmtId="0" fontId="3" fillId="2" borderId="9" xfId="0" applyFont="1" applyFill="1" applyBorder="1" applyAlignment="1">
      <alignment horizontal="center"/>
    </xf>
    <xf numFmtId="0" fontId="3" fillId="2" borderId="10" xfId="0" applyFont="1" applyFill="1" applyBorder="1" applyAlignment="1">
      <alignment horizontal="center"/>
    </xf>
    <xf numFmtId="43" fontId="0" fillId="0" borderId="0" xfId="1" applyFont="1" applyBorder="1"/>
    <xf numFmtId="0" fontId="3" fillId="2" borderId="12" xfId="0" applyFont="1" applyFill="1" applyBorder="1" applyAlignment="1">
      <alignment horizontal="center"/>
    </xf>
    <xf numFmtId="0" fontId="3" fillId="2" borderId="18" xfId="0" applyFont="1" applyFill="1" applyBorder="1" applyAlignment="1">
      <alignment horizontal="center"/>
    </xf>
    <xf numFmtId="0" fontId="3" fillId="2" borderId="19" xfId="0" applyFont="1" applyFill="1" applyBorder="1" applyAlignment="1">
      <alignment horizontal="center"/>
    </xf>
    <xf numFmtId="0" fontId="3" fillId="2" borderId="20" xfId="0" applyFont="1" applyFill="1" applyBorder="1" applyAlignment="1">
      <alignment horizontal="center"/>
    </xf>
    <xf numFmtId="43" fontId="0" fillId="0" borderId="1" xfId="1" applyFont="1" applyBorder="1"/>
    <xf numFmtId="168" fontId="0" fillId="0" borderId="1" xfId="2" applyNumberFormat="1" applyFont="1" applyBorder="1"/>
    <xf numFmtId="43" fontId="0" fillId="0" borderId="3" xfId="1" applyFont="1" applyBorder="1"/>
    <xf numFmtId="10" fontId="0" fillId="0" borderId="3" xfId="2" applyNumberFormat="1" applyFont="1" applyBorder="1"/>
    <xf numFmtId="43" fontId="0" fillId="0" borderId="7" xfId="1" applyFont="1" applyBorder="1"/>
    <xf numFmtId="168" fontId="0" fillId="0" borderId="21" xfId="2" applyNumberFormat="1" applyFont="1" applyBorder="1"/>
    <xf numFmtId="168" fontId="0" fillId="0" borderId="5" xfId="2" applyNumberFormat="1" applyFont="1" applyBorder="1"/>
    <xf numFmtId="0" fontId="4" fillId="0" borderId="13" xfId="0" applyFont="1" applyFill="1" applyBorder="1"/>
    <xf numFmtId="0" fontId="9" fillId="0" borderId="13" xfId="0" applyFont="1" applyFill="1" applyBorder="1"/>
    <xf numFmtId="0" fontId="10" fillId="7" borderId="15" xfId="0" applyFont="1" applyFill="1" applyBorder="1"/>
    <xf numFmtId="0" fontId="10" fillId="3" borderId="0" xfId="0" applyFont="1" applyFill="1" applyBorder="1" applyAlignment="1">
      <alignment horizontal="center"/>
    </xf>
    <xf numFmtId="0" fontId="9" fillId="3" borderId="14" xfId="0" applyFont="1" applyFill="1" applyBorder="1"/>
    <xf numFmtId="174" fontId="9" fillId="0" borderId="0" xfId="1" applyNumberFormat="1" applyFont="1" applyFill="1" applyBorder="1"/>
    <xf numFmtId="174" fontId="9" fillId="0" borderId="14" xfId="1" applyNumberFormat="1" applyFont="1" applyFill="1" applyBorder="1"/>
    <xf numFmtId="174" fontId="10" fillId="7" borderId="16" xfId="1" applyNumberFormat="1" applyFont="1" applyFill="1" applyBorder="1"/>
    <xf numFmtId="174" fontId="9" fillId="0" borderId="16" xfId="1" applyNumberFormat="1" applyFont="1" applyFill="1" applyBorder="1"/>
    <xf numFmtId="174" fontId="9" fillId="0" borderId="17" xfId="1" applyNumberFormat="1" applyFont="1" applyFill="1" applyBorder="1"/>
    <xf numFmtId="0" fontId="3" fillId="4" borderId="22" xfId="0" applyFont="1" applyFill="1" applyBorder="1" applyAlignment="1">
      <alignment horizontal="center"/>
    </xf>
    <xf numFmtId="0" fontId="3" fillId="4" borderId="7" xfId="0" applyFont="1" applyFill="1" applyBorder="1" applyAlignment="1">
      <alignment horizontal="center"/>
    </xf>
    <xf numFmtId="43" fontId="9" fillId="0" borderId="14" xfId="1" applyNumberFormat="1" applyFont="1" applyFill="1" applyBorder="1"/>
    <xf numFmtId="0" fontId="3" fillId="2" borderId="23" xfId="0" applyFont="1" applyFill="1" applyBorder="1" applyAlignment="1">
      <alignment horizontal="center"/>
    </xf>
    <xf numFmtId="0" fontId="3" fillId="2" borderId="24" xfId="0" applyFont="1" applyFill="1" applyBorder="1" applyAlignment="1">
      <alignment horizontal="center"/>
    </xf>
    <xf numFmtId="0" fontId="3" fillId="2" borderId="25" xfId="0" applyFont="1" applyFill="1" applyBorder="1" applyAlignment="1">
      <alignment horizontal="center"/>
    </xf>
    <xf numFmtId="43" fontId="0" fillId="0" borderId="16" xfId="1" applyFont="1" applyBorder="1"/>
    <xf numFmtId="0" fontId="3" fillId="0" borderId="0" xfId="0" applyFont="1" applyFill="1" applyBorder="1" applyAlignment="1"/>
    <xf numFmtId="0" fontId="3" fillId="0" borderId="11" xfId="0" applyFont="1" applyFill="1" applyBorder="1" applyAlignment="1">
      <alignment horizontal="center"/>
    </xf>
    <xf numFmtId="0" fontId="3" fillId="0" borderId="12" xfId="0" applyFont="1" applyFill="1" applyBorder="1" applyAlignment="1">
      <alignment horizontal="center"/>
    </xf>
    <xf numFmtId="0" fontId="3" fillId="0" borderId="13" xfId="0" applyFont="1" applyBorder="1" applyAlignment="1">
      <alignment horizontal="center" vertical="center"/>
    </xf>
    <xf numFmtId="0" fontId="3" fillId="0" borderId="15" xfId="0" applyFont="1" applyBorder="1" applyAlignment="1">
      <alignment horizontal="center" vertical="center"/>
    </xf>
    <xf numFmtId="0" fontId="6" fillId="0" borderId="0" xfId="0" applyFont="1"/>
    <xf numFmtId="0" fontId="0" fillId="0" borderId="0" xfId="0" applyFont="1"/>
    <xf numFmtId="0" fontId="0" fillId="0" borderId="0" xfId="0" applyFont="1" applyBorder="1"/>
    <xf numFmtId="0" fontId="0" fillId="0" borderId="13" xfId="0" applyFont="1" applyBorder="1"/>
    <xf numFmtId="0" fontId="0" fillId="0" borderId="14" xfId="0" applyFont="1" applyBorder="1"/>
    <xf numFmtId="0" fontId="0" fillId="0" borderId="17" xfId="0" applyFont="1" applyBorder="1"/>
    <xf numFmtId="164" fontId="0" fillId="0" borderId="16" xfId="2" applyNumberFormat="1" applyFont="1" applyBorder="1" applyAlignment="1"/>
    <xf numFmtId="0" fontId="11" fillId="0" borderId="0" xfId="0" applyFont="1"/>
    <xf numFmtId="0" fontId="12" fillId="0" borderId="0" xfId="0" applyFont="1"/>
    <xf numFmtId="0" fontId="13" fillId="0" borderId="0" xfId="0" applyFont="1"/>
    <xf numFmtId="0" fontId="14" fillId="0" borderId="0" xfId="0" applyFont="1" applyAlignment="1">
      <alignment vertical="center" wrapText="1"/>
    </xf>
    <xf numFmtId="3" fontId="14" fillId="0" borderId="0" xfId="0" applyNumberFormat="1" applyFont="1"/>
    <xf numFmtId="3" fontId="11" fillId="0" borderId="0" xfId="0" applyNumberFormat="1" applyFont="1"/>
    <xf numFmtId="0" fontId="15" fillId="0" borderId="0" xfId="3" applyFont="1"/>
    <xf numFmtId="0" fontId="13" fillId="2" borderId="18" xfId="0" applyFont="1" applyFill="1" applyBorder="1"/>
    <xf numFmtId="0" fontId="13" fillId="0" borderId="20" xfId="0" applyFont="1" applyBorder="1"/>
    <xf numFmtId="0" fontId="11" fillId="2" borderId="18" xfId="0" applyFont="1" applyFill="1" applyBorder="1" applyAlignment="1">
      <alignment horizontal="center"/>
    </xf>
    <xf numFmtId="0" fontId="11" fillId="2" borderId="20" xfId="0" applyFont="1" applyFill="1" applyBorder="1" applyAlignment="1">
      <alignment horizontal="center"/>
    </xf>
    <xf numFmtId="0" fontId="11" fillId="0" borderId="0" xfId="0" applyFont="1" applyAlignment="1"/>
    <xf numFmtId="0" fontId="11" fillId="0" borderId="13" xfId="0" applyFont="1" applyBorder="1"/>
    <xf numFmtId="0" fontId="11" fillId="0" borderId="14" xfId="0" applyFont="1" applyBorder="1"/>
    <xf numFmtId="0" fontId="11" fillId="0" borderId="0" xfId="0" applyFont="1" applyAlignment="1">
      <alignment horizontal="center"/>
    </xf>
    <xf numFmtId="0" fontId="13" fillId="0" borderId="13" xfId="0" applyFont="1" applyBorder="1"/>
    <xf numFmtId="43" fontId="11" fillId="0" borderId="14" xfId="1" applyFont="1" applyBorder="1"/>
    <xf numFmtId="43" fontId="11" fillId="0" borderId="14" xfId="0" applyNumberFormat="1" applyFont="1" applyBorder="1"/>
    <xf numFmtId="43" fontId="11" fillId="0" borderId="0" xfId="1" applyFont="1" applyBorder="1"/>
    <xf numFmtId="0" fontId="13" fillId="0" borderId="15" xfId="0" applyFont="1" applyBorder="1"/>
    <xf numFmtId="0" fontId="11" fillId="0" borderId="17" xfId="0" applyFont="1" applyBorder="1"/>
    <xf numFmtId="43" fontId="11" fillId="0" borderId="17" xfId="0" applyNumberFormat="1" applyFont="1" applyBorder="1"/>
    <xf numFmtId="43" fontId="11" fillId="0" borderId="0" xfId="0" applyNumberFormat="1" applyFont="1"/>
    <xf numFmtId="0" fontId="0" fillId="0" borderId="6" xfId="0" applyFont="1" applyBorder="1"/>
    <xf numFmtId="0" fontId="0" fillId="0" borderId="7" xfId="0" applyFont="1" applyBorder="1" applyAlignment="1">
      <alignment horizontal="center"/>
    </xf>
    <xf numFmtId="0" fontId="0" fillId="0" borderId="2" xfId="0" applyFont="1" applyBorder="1"/>
    <xf numFmtId="10" fontId="0" fillId="0" borderId="3" xfId="0" applyNumberFormat="1" applyFont="1" applyBorder="1"/>
    <xf numFmtId="0" fontId="0" fillId="0" borderId="3" xfId="0" applyFont="1" applyBorder="1"/>
    <xf numFmtId="0" fontId="0" fillId="0" borderId="4" xfId="0" applyFont="1" applyBorder="1"/>
    <xf numFmtId="171" fontId="0" fillId="0" borderId="5" xfId="0" applyNumberFormat="1" applyFont="1" applyBorder="1"/>
    <xf numFmtId="171" fontId="0" fillId="0" borderId="0" xfId="0" applyNumberFormat="1" applyFont="1"/>
    <xf numFmtId="0" fontId="0" fillId="0" borderId="1" xfId="0" applyFont="1" applyBorder="1"/>
    <xf numFmtId="9" fontId="0" fillId="0" borderId="1" xfId="0" applyNumberFormat="1" applyFont="1" applyBorder="1"/>
    <xf numFmtId="10" fontId="0" fillId="0" borderId="1" xfId="0" applyNumberFormat="1" applyFont="1" applyBorder="1"/>
    <xf numFmtId="0" fontId="0" fillId="0" borderId="21" xfId="0" applyFont="1" applyBorder="1"/>
    <xf numFmtId="10" fontId="0" fillId="0" borderId="0" xfId="0" applyNumberFormat="1" applyFont="1"/>
    <xf numFmtId="0" fontId="0" fillId="0" borderId="1" xfId="0" applyFont="1" applyFill="1" applyBorder="1"/>
    <xf numFmtId="10" fontId="0" fillId="0" borderId="1" xfId="0" applyNumberFormat="1" applyFont="1" applyFill="1" applyBorder="1"/>
    <xf numFmtId="10" fontId="0" fillId="0" borderId="5" xfId="0" applyNumberFormat="1" applyFont="1" applyBorder="1"/>
    <xf numFmtId="9" fontId="0" fillId="0" borderId="15" xfId="0" applyNumberFormat="1" applyFont="1" applyBorder="1" applyAlignment="1"/>
    <xf numFmtId="9" fontId="0" fillId="0" borderId="17" xfId="0" applyNumberFormat="1" applyFont="1" applyBorder="1" applyAlignment="1"/>
    <xf numFmtId="0" fontId="0" fillId="0" borderId="15" xfId="0" applyFont="1" applyBorder="1"/>
    <xf numFmtId="0" fontId="0" fillId="0" borderId="16" xfId="0" applyFont="1" applyBorder="1"/>
    <xf numFmtId="43" fontId="0" fillId="0" borderId="0" xfId="0" applyNumberFormat="1" applyFont="1" applyBorder="1"/>
    <xf numFmtId="10" fontId="0" fillId="0" borderId="0" xfId="0" applyNumberFormat="1" applyFont="1" applyBorder="1"/>
    <xf numFmtId="10" fontId="0" fillId="0" borderId="14" xfId="0" applyNumberFormat="1" applyFont="1" applyBorder="1"/>
    <xf numFmtId="168" fontId="0" fillId="0" borderId="0" xfId="0" applyNumberFormat="1" applyFont="1" applyBorder="1"/>
    <xf numFmtId="168" fontId="0" fillId="0" borderId="16" xfId="0" applyNumberFormat="1" applyFont="1" applyBorder="1"/>
    <xf numFmtId="0" fontId="13" fillId="0" borderId="0" xfId="0" applyFont="1" applyFill="1" applyBorder="1"/>
    <xf numFmtId="0" fontId="17" fillId="0" borderId="0" xfId="0" applyFont="1" applyAlignment="1">
      <alignment horizontal="center"/>
    </xf>
    <xf numFmtId="0" fontId="11" fillId="0" borderId="0" xfId="0" applyFont="1" applyFill="1" applyBorder="1"/>
    <xf numFmtId="0" fontId="17" fillId="0" borderId="0" xfId="0" applyFont="1" applyFill="1" applyBorder="1" applyAlignment="1">
      <alignment horizontal="center"/>
    </xf>
    <xf numFmtId="43" fontId="11" fillId="0" borderId="0" xfId="1" applyFont="1" applyFill="1" applyBorder="1"/>
    <xf numFmtId="10" fontId="11" fillId="0" borderId="0" xfId="2" applyNumberFormat="1" applyFont="1" applyFill="1" applyBorder="1"/>
    <xf numFmtId="0" fontId="11" fillId="0" borderId="0" xfId="0" applyFont="1" applyFill="1"/>
    <xf numFmtId="0" fontId="17" fillId="0" borderId="0" xfId="0" applyFont="1" applyFill="1" applyAlignment="1">
      <alignment horizontal="center"/>
    </xf>
    <xf numFmtId="10" fontId="11" fillId="0" borderId="0" xfId="2" applyNumberFormat="1" applyFont="1" applyFill="1"/>
    <xf numFmtId="10" fontId="11" fillId="0" borderId="0" xfId="2" applyNumberFormat="1" applyFont="1"/>
    <xf numFmtId="0" fontId="18" fillId="0" borderId="0" xfId="0" applyFont="1" applyAlignment="1">
      <alignment horizontal="left"/>
    </xf>
    <xf numFmtId="0" fontId="11" fillId="0" borderId="0" xfId="0" applyFont="1" applyAlignment="1">
      <alignment horizontal="left"/>
    </xf>
    <xf numFmtId="0" fontId="11" fillId="0" borderId="0" xfId="0" quotePrefix="1" applyFont="1" applyAlignment="1">
      <alignment horizontal="left"/>
    </xf>
    <xf numFmtId="0" fontId="18" fillId="0" borderId="0" xfId="0" applyFont="1"/>
    <xf numFmtId="168" fontId="11" fillId="0" borderId="0" xfId="2" applyNumberFormat="1" applyFont="1" applyFill="1"/>
    <xf numFmtId="9" fontId="11" fillId="0" borderId="0" xfId="2" applyFont="1" applyFill="1"/>
    <xf numFmtId="43" fontId="11" fillId="0" borderId="0" xfId="1" applyFont="1" applyFill="1"/>
    <xf numFmtId="43" fontId="11" fillId="0" borderId="0" xfId="0" applyNumberFormat="1" applyFont="1" applyFill="1"/>
    <xf numFmtId="0" fontId="17" fillId="0" borderId="0" xfId="0" applyFont="1" applyAlignment="1">
      <alignment horizontal="center"/>
    </xf>
    <xf numFmtId="10" fontId="11" fillId="0" borderId="0" xfId="0" applyNumberFormat="1" applyFont="1"/>
    <xf numFmtId="43" fontId="11" fillId="0" borderId="0" xfId="1" applyFont="1"/>
    <xf numFmtId="9" fontId="11" fillId="0" borderId="0" xfId="0" applyNumberFormat="1" applyFont="1"/>
    <xf numFmtId="9" fontId="0" fillId="5" borderId="0" xfId="0" applyNumberFormat="1" applyFill="1"/>
    <xf numFmtId="43" fontId="0" fillId="5" borderId="0" xfId="1" applyFont="1" applyFill="1"/>
    <xf numFmtId="43" fontId="0" fillId="0" borderId="0" xfId="1" applyFont="1" applyAlignment="1">
      <alignment horizontal="center"/>
    </xf>
    <xf numFmtId="0" fontId="0" fillId="0" borderId="0" xfId="0" applyAlignment="1">
      <alignment vertical="center"/>
    </xf>
    <xf numFmtId="0" fontId="16" fillId="0" borderId="0" xfId="0" applyFont="1" applyFill="1" applyAlignment="1"/>
    <xf numFmtId="0" fontId="16" fillId="8" borderId="0" xfId="0" applyFont="1" applyFill="1" applyAlignment="1">
      <alignment horizontal="center"/>
    </xf>
    <xf numFmtId="0" fontId="17" fillId="0" borderId="0" xfId="0" applyFont="1" applyAlignment="1"/>
    <xf numFmtId="0" fontId="13" fillId="0" borderId="0" xfId="0" applyFont="1" applyFill="1"/>
    <xf numFmtId="0" fontId="17" fillId="0" borderId="0" xfId="0" applyFont="1"/>
    <xf numFmtId="43" fontId="14" fillId="0" borderId="0" xfId="1" applyFont="1"/>
    <xf numFmtId="0" fontId="0" fillId="5" borderId="0" xfId="0" applyFill="1" applyAlignment="1">
      <alignment horizontal="left"/>
    </xf>
    <xf numFmtId="0" fontId="2" fillId="9" borderId="0" xfId="0" applyFont="1" applyFill="1" applyAlignment="1">
      <alignment horizontal="center"/>
    </xf>
    <xf numFmtId="43" fontId="2" fillId="9" borderId="0" xfId="1" applyFont="1" applyFill="1" applyAlignment="1">
      <alignment horizontal="center"/>
    </xf>
    <xf numFmtId="43" fontId="0" fillId="10" borderId="0" xfId="1" applyFont="1" applyFill="1" applyBorder="1"/>
    <xf numFmtId="43" fontId="0" fillId="10" borderId="0" xfId="1" applyFont="1" applyFill="1"/>
    <xf numFmtId="0" fontId="5" fillId="0" borderId="16" xfId="0" applyFont="1" applyBorder="1"/>
    <xf numFmtId="10" fontId="0" fillId="0" borderId="16" xfId="0" applyNumberFormat="1" applyFont="1" applyBorder="1"/>
    <xf numFmtId="0" fontId="3" fillId="0" borderId="0" xfId="0" applyFont="1" applyAlignment="1">
      <alignment horizontal="center" vertical="center"/>
    </xf>
    <xf numFmtId="10" fontId="0" fillId="0" borderId="1" xfId="0" applyNumberFormat="1" applyBorder="1" applyAlignment="1">
      <alignment horizontal="center"/>
    </xf>
    <xf numFmtId="0" fontId="0" fillId="6" borderId="1" xfId="0" applyFill="1" applyBorder="1" applyAlignment="1">
      <alignment horizontal="center"/>
    </xf>
    <xf numFmtId="9" fontId="0" fillId="6" borderId="1" xfId="0" applyNumberFormat="1" applyFill="1" applyBorder="1" applyAlignment="1">
      <alignment horizontal="center"/>
    </xf>
    <xf numFmtId="9" fontId="0" fillId="5" borderId="0" xfId="0" applyNumberFormat="1" applyFill="1" applyAlignment="1">
      <alignment horizontal="right"/>
    </xf>
  </cellXfs>
  <cellStyles count="4">
    <cellStyle name="Lien hypertexte" xfId="3" builtinId="8"/>
    <cellStyle name="Milliers" xfId="1" builtinId="3"/>
    <cellStyle name="Normal" xfId="0" builtinId="0"/>
    <cellStyle name="Pourcentage" xfId="2" builtinId="5"/>
  </cellStyles>
  <dxfs count="129">
    <dxf>
      <numFmt numFmtId="35" formatCode="_(* #,##0.00_);_(* \(#,##0.00\);_(* &quot;-&quot;??_);_(@_)"/>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i val="0"/>
        <strike val="0"/>
        <condense val="0"/>
        <extend val="0"/>
        <outline val="0"/>
        <shadow val="0"/>
        <u val="none"/>
        <vertAlign val="baseline"/>
        <sz val="11"/>
        <color theme="1"/>
        <name val="Aptos Display"/>
        <family val="2"/>
        <scheme val="maj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numFmt numFmtId="168"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8"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8"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8"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8"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8"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8"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8"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8" formatCode="0.000%"/>
      <fill>
        <patternFill patternType="none">
          <fgColor indexed="64"/>
          <bgColor auto="1"/>
        </patternFill>
      </fill>
    </dxf>
    <dxf>
      <font>
        <strike val="0"/>
        <outline val="0"/>
        <shadow val="0"/>
        <u val="none"/>
        <vertAlign val="baseline"/>
        <sz val="1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i val="0"/>
        <strike val="0"/>
        <condense val="0"/>
        <extend val="0"/>
        <outline val="0"/>
        <shadow val="0"/>
        <u val="none"/>
        <vertAlign val="baseline"/>
        <sz val="11"/>
        <color theme="1"/>
        <name val="Aptos Display"/>
        <family val="2"/>
        <scheme val="maj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strike val="0"/>
        <outline val="0"/>
        <shadow val="0"/>
        <u val="none"/>
        <vertAlign val="baseline"/>
        <sz val="11"/>
        <name val="Aptos Display"/>
        <family val="2"/>
        <scheme val="major"/>
      </font>
      <fill>
        <patternFill patternType="none">
          <fgColor indexed="64"/>
          <bgColor auto="1"/>
        </patternFill>
      </fill>
    </dxf>
    <dxf>
      <font>
        <strike val="0"/>
        <outline val="0"/>
        <shadow val="0"/>
        <u val="none"/>
        <vertAlign val="baseline"/>
        <sz val="11"/>
        <color auto="1"/>
        <name val="Aptos Narrow"/>
        <family val="2"/>
        <scheme val="minor"/>
      </font>
      <fill>
        <patternFill patternType="none">
          <bgColor auto="1"/>
        </patternFill>
      </fill>
    </dxf>
    <dxf>
      <font>
        <b/>
        <i val="0"/>
        <strike val="0"/>
        <condense val="0"/>
        <extend val="0"/>
        <outline val="0"/>
        <shadow val="0"/>
        <u val="none"/>
        <vertAlign val="baseline"/>
        <sz val="11"/>
        <color auto="1"/>
        <name val="Aptos Narrow"/>
        <family val="2"/>
        <scheme val="minor"/>
      </font>
      <fill>
        <patternFill patternType="none">
          <fgColor theme="5"/>
          <bgColor auto="1"/>
        </patternFill>
      </fill>
      <alignment horizontal="center" vertical="bottom" textRotation="0" wrapText="0" indent="0" justifyLastLine="0" shrinkToFit="0" readingOrder="0"/>
    </dxf>
    <dxf>
      <font>
        <strike val="0"/>
        <outline val="0"/>
        <shadow val="0"/>
        <u val="none"/>
        <vertAlign val="baseline"/>
        <sz val="11"/>
        <color auto="1"/>
        <name val="Aptos Narrow"/>
        <family val="2"/>
        <scheme val="minor"/>
      </font>
      <numFmt numFmtId="174" formatCode="_(* #,##0.000_);_(* \(#,##0.000\);_(* &quot;-&quot;??_);_(@_)"/>
      <fill>
        <patternFill patternType="none">
          <bgColor auto="1"/>
        </patternFill>
      </fill>
    </dxf>
    <dxf>
      <font>
        <strike val="0"/>
        <outline val="0"/>
        <shadow val="0"/>
        <u val="none"/>
        <vertAlign val="baseline"/>
        <sz val="11"/>
        <color auto="1"/>
        <name val="Aptos Narrow"/>
        <family val="2"/>
        <scheme val="minor"/>
      </font>
      <numFmt numFmtId="174" formatCode="_(* #,##0.000_);_(* \(#,##0.000\);_(* &quot;-&quot;??_);_(@_)"/>
      <fill>
        <patternFill patternType="none">
          <bgColor auto="1"/>
        </patternFill>
      </fill>
    </dxf>
    <dxf>
      <font>
        <strike val="0"/>
        <outline val="0"/>
        <shadow val="0"/>
        <u val="none"/>
        <vertAlign val="baseline"/>
        <sz val="11"/>
        <color auto="1"/>
        <name val="Aptos Narrow"/>
        <family val="2"/>
        <scheme val="minor"/>
      </font>
      <numFmt numFmtId="174" formatCode="_(* #,##0.000_);_(* \(#,##0.000\);_(* &quot;-&quot;??_);_(@_)"/>
      <fill>
        <patternFill patternType="none">
          <bgColor auto="1"/>
        </patternFill>
      </fill>
    </dxf>
    <dxf>
      <font>
        <strike val="0"/>
        <outline val="0"/>
        <shadow val="0"/>
        <u val="none"/>
        <vertAlign val="baseline"/>
        <sz val="11"/>
        <color auto="1"/>
        <name val="Aptos Narrow"/>
        <family val="2"/>
        <scheme val="minor"/>
      </font>
      <numFmt numFmtId="174" formatCode="_(* #,##0.000_);_(* \(#,##0.000\);_(* &quot;-&quot;??_);_(@_)"/>
      <fill>
        <patternFill patternType="none">
          <bgColor auto="1"/>
        </patternFill>
      </fill>
    </dxf>
    <dxf>
      <font>
        <strike val="0"/>
        <outline val="0"/>
        <shadow val="0"/>
        <u val="none"/>
        <vertAlign val="baseline"/>
        <sz val="11"/>
        <color auto="1"/>
        <name val="Aptos Narrow"/>
        <family val="2"/>
        <scheme val="minor"/>
      </font>
      <numFmt numFmtId="174" formatCode="_(* #,##0.000_);_(* \(#,##0.000\);_(* &quot;-&quot;??_);_(@_)"/>
      <fill>
        <patternFill patternType="none">
          <bgColor auto="1"/>
        </patternFill>
      </fill>
    </dxf>
    <dxf>
      <font>
        <strike val="0"/>
        <outline val="0"/>
        <shadow val="0"/>
        <u val="none"/>
        <vertAlign val="baseline"/>
        <sz val="11"/>
        <color auto="1"/>
        <name val="Aptos Narrow"/>
        <family val="2"/>
        <scheme val="minor"/>
      </font>
      <numFmt numFmtId="174" formatCode="_(* #,##0.000_);_(* \(#,##0.000\);_(* &quot;-&quot;??_);_(@_)"/>
      <fill>
        <patternFill patternType="none">
          <bgColor auto="1"/>
        </patternFill>
      </fill>
    </dxf>
    <dxf>
      <font>
        <strike val="0"/>
        <outline val="0"/>
        <shadow val="0"/>
        <u val="none"/>
        <vertAlign val="baseline"/>
        <sz val="11"/>
        <color auto="1"/>
        <name val="Aptos Narrow"/>
        <family val="2"/>
        <scheme val="minor"/>
      </font>
      <fill>
        <patternFill patternType="none">
          <bgColor auto="1"/>
        </patternFill>
      </fill>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numFmt numFmtId="3" formatCode="#,##0"/>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i val="0"/>
        <strike val="0"/>
        <condense val="0"/>
        <extend val="0"/>
        <outline val="0"/>
        <shadow val="0"/>
        <u val="none"/>
        <vertAlign val="baseline"/>
        <sz val="11"/>
        <color rgb="FF232A31"/>
        <name val="Aptos Display"/>
        <family val="2"/>
        <scheme val="major"/>
      </font>
      <numFmt numFmtId="3" formatCode="#,##0"/>
    </dxf>
    <dxf>
      <font>
        <b val="0"/>
        <i val="0"/>
        <strike val="0"/>
        <condense val="0"/>
        <extend val="0"/>
        <outline val="0"/>
        <shadow val="0"/>
        <u val="none"/>
        <vertAlign val="baseline"/>
        <sz val="11"/>
        <color rgb="FF232A31"/>
        <name val="Aptos Display"/>
        <family val="2"/>
        <scheme val="major"/>
      </font>
      <numFmt numFmtId="3" formatCode="#,##0"/>
    </dxf>
    <dxf>
      <font>
        <b val="0"/>
        <strike val="0"/>
        <outline val="0"/>
        <shadow val="0"/>
        <u val="none"/>
        <vertAlign val="baseline"/>
        <sz val="11"/>
        <name val="Aptos Display"/>
        <family val="2"/>
        <scheme val="major"/>
      </font>
    </dxf>
    <dxf>
      <font>
        <b val="0"/>
        <strike val="0"/>
        <outline val="0"/>
        <shadow val="0"/>
        <u val="none"/>
        <vertAlign val="baseline"/>
        <sz val="11"/>
        <color rgb="FF0F1115"/>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8A9E1DA-6C34-448A-BF1D-2C427DF25898}" name="Tableau10" displayName="Tableau10" ref="A5:E15" totalsRowShown="0" headerRowDxfId="45" dataDxfId="46" dataCellStyle="Pourcentage">
  <autoFilter ref="A5:E15" xr:uid="{D8A9E1DA-6C34-448A-BF1D-2C427DF25898}"/>
  <tableColumns count="5">
    <tableColumn id="1" xr3:uid="{8494BEA2-65B9-41F1-B612-DCC18703C452}" name=" " dataDxfId="51"/>
    <tableColumn id="2" xr3:uid="{AC823415-77D7-44C4-8D64-34D3D9DD5F24}" name="2021" dataDxfId="50" dataCellStyle="Pourcentage"/>
    <tableColumn id="3" xr3:uid="{8EF3EA6D-B186-4C58-BA2E-C40E59AEB831}" name="2022" dataDxfId="49" dataCellStyle="Pourcentage"/>
    <tableColumn id="4" xr3:uid="{FD50944B-3660-497C-B763-0E41F004180A}" name="2023" dataDxfId="48" dataCellStyle="Pourcentage"/>
    <tableColumn id="5" xr3:uid="{6A82B756-64DA-47C8-AE64-12A120D46DE5}" name="2024" dataDxfId="47" dataCellStyle="Pourcentage"/>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CC5725-2A90-4B84-A543-8328E50F0A72}" name="Tableau11" displayName="Tableau11" ref="A19:E24" totalsRowShown="0" headerRowDxfId="38" dataDxfId="39">
  <autoFilter ref="A19:E24" xr:uid="{72CC5725-2A90-4B84-A543-8328E50F0A72}"/>
  <tableColumns count="5">
    <tableColumn id="1" xr3:uid="{F4CE0C2D-1336-4B66-9186-5C107EE81D23}" name=" " dataDxfId="44"/>
    <tableColumn id="2" xr3:uid="{9BED5DB9-069A-4BD9-9AB3-1B6E78D3501B}" name="2021" dataDxfId="43"/>
    <tableColumn id="3" xr3:uid="{D8BFA617-39D8-480C-8004-A25C0707F7F3}" name="2022" dataDxfId="42"/>
    <tableColumn id="4" xr3:uid="{64040B20-207D-4BED-A8BF-7A417285B2D9}" name="2023" dataDxfId="41"/>
    <tableColumn id="5" xr3:uid="{3B7C97FD-0F15-494E-BFD8-750EE139AB82}" name="2024" dataDxfId="4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579B475-6B47-49D0-AA65-18944FD7A838}" name="Tableau12" displayName="Tableau12" ref="A28:F34" totalsRowShown="0" headerRowDxfId="30" dataDxfId="31">
  <autoFilter ref="A28:F34" xr:uid="{6579B475-6B47-49D0-AA65-18944FD7A838}"/>
  <tableColumns count="6">
    <tableColumn id="1" xr3:uid="{7590E4D9-C4ED-4AF0-B049-BE6EC4E93D9A}" name=" " dataDxfId="37"/>
    <tableColumn id="2" xr3:uid="{37984C62-2ED5-4E29-AE86-F045DC95ACF6}" name="2020" dataDxfId="36"/>
    <tableColumn id="3" xr3:uid="{37A60511-9CE5-4DE2-BDDC-82FF9F2E1B91}" name="2021" dataDxfId="35"/>
    <tableColumn id="4" xr3:uid="{59946797-ED95-4A98-954C-071ECB5529BB}" name="2022" dataDxfId="34"/>
    <tableColumn id="5" xr3:uid="{95E6300D-FA86-4058-97CA-BB2895FCBA68}" name="2023" dataDxfId="33"/>
    <tableColumn id="6" xr3:uid="{0804AD9D-79E7-4FA9-8B07-658D02CB96DB}" name="2024" dataDxfId="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B80D4E6-6755-47F0-A316-3CDAEA776B3F}" name="Tableau13" displayName="Tableau13" ref="A38:B42" totalsRowShown="0" headerRowDxfId="28">
  <autoFilter ref="A38:B42" xr:uid="{6B80D4E6-6755-47F0-A316-3CDAEA776B3F}"/>
  <tableColumns count="2">
    <tableColumn id="1" xr3:uid="{9673709B-958D-4D0C-A181-B5B48E7FCC69}" name=" " dataDxfId="29"/>
    <tableColumn id="2" xr3:uid="{F6854CB8-C358-4E76-8519-3F6E6BF2466A}" name="Valeur"/>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87A2CCE-A442-4551-9370-F107354C2347}" name="Tableau14" displayName="Tableau14" ref="A46:F49" totalsRowShown="0" headerRowDxfId="25">
  <autoFilter ref="A46:F49" xr:uid="{E87A2CCE-A442-4551-9370-F107354C2347}"/>
  <tableColumns count="6">
    <tableColumn id="1" xr3:uid="{12B26E8F-7E3D-4191-BD4D-E622499F31FB}" name=" " dataDxfId="27"/>
    <tableColumn id="2" xr3:uid="{10057B07-70C8-4FD6-9862-D4D06964FB8B}" name="2020" dataDxfId="26"/>
    <tableColumn id="3" xr3:uid="{1C41AEC1-AB87-448D-B85D-30FA639A5B8C}" name="2021"/>
    <tableColumn id="4" xr3:uid="{DC1633F8-8485-4FFA-8CEC-C065CDA01FE1}" name="2022"/>
    <tableColumn id="5" xr3:uid="{E533DC34-1766-4DFA-A557-70ED767ADB2A}" name="2023"/>
    <tableColumn id="6" xr3:uid="{9AB72FF4-F169-4307-8129-A087364C3433}" name="202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15E8CF-32F3-471F-B73C-DE362433878B}" name="Tableau2" displayName="Tableau2" ref="B79:K86" totalsRowShown="0" headerRowDxfId="87" dataDxfId="86" dataCellStyle="Milliers">
  <autoFilter ref="B79:K86" xr:uid="{B315E8CF-32F3-471F-B73C-DE362433878B}"/>
  <tableColumns count="10">
    <tableColumn id="1" xr3:uid="{9E481CA0-8B7A-4591-9595-1E1EAD449CFD}" name="En milions dollars" dataDxfId="97"/>
    <tableColumn id="2" xr3:uid="{EFD7DF8C-EADF-4D1D-9602-95A88A830E93}" name="2021" dataDxfId="96" dataCellStyle="Milliers"/>
    <tableColumn id="3" xr3:uid="{0E4CCE2C-8006-45EE-AB45-317B40122B83}" name="2022" dataDxfId="95" dataCellStyle="Milliers"/>
    <tableColumn id="4" xr3:uid="{1F790776-F275-4312-851F-33EE07378601}" name="2023" dataDxfId="94" dataCellStyle="Milliers"/>
    <tableColumn id="5" xr3:uid="{D46BBD33-7D36-4DDF-9EA5-2A7746302773}" name="2024" dataDxfId="93" dataCellStyle="Milliers"/>
    <tableColumn id="6" xr3:uid="{78374191-512A-4BD6-94FC-926921382FF1}" name="2025" dataDxfId="92" dataCellStyle="Milliers"/>
    <tableColumn id="7" xr3:uid="{D985299C-426D-40FD-AFF5-90A55E998124}" name="2026" dataDxfId="91" dataCellStyle="Milliers"/>
    <tableColumn id="8" xr3:uid="{04251690-1322-4A89-82F6-92C7224E0958}" name="2027" dataDxfId="90" dataCellStyle="Milliers"/>
    <tableColumn id="9" xr3:uid="{6CD4CAB0-ED46-4386-99AD-E8075ECC77E0}" name="2028" dataDxfId="89" dataCellStyle="Milliers"/>
    <tableColumn id="10" xr3:uid="{FAF95DB1-3404-4010-9953-47331EBEC1BB}" name="2029" dataDxfId="88" dataCellStyle="Milliers"/>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B886FC-AE68-449A-9606-425FF859AF37}" name="Tableau3" displayName="Tableau3" ref="B69:K75" totalsRowShown="0" headerRowDxfId="75" dataDxfId="74" dataCellStyle="Pourcentage">
  <autoFilter ref="B69:K75" xr:uid="{BBB886FC-AE68-449A-9606-425FF859AF37}"/>
  <tableColumns count="10">
    <tableColumn id="1" xr3:uid="{B6E1B033-CE19-40EC-B1CB-21840B6B7E78}" name="en %" dataDxfId="85"/>
    <tableColumn id="2" xr3:uid="{38276CE2-1589-4C62-931C-BDD3F6BAEAEE}" name="2021" dataDxfId="84" dataCellStyle="Pourcentage"/>
    <tableColumn id="3" xr3:uid="{40F1C84F-7178-4C13-B7DB-D8F8AC24829F}" name="2022" dataDxfId="83" dataCellStyle="Pourcentage"/>
    <tableColumn id="4" xr3:uid="{40D82CFB-36CC-480B-84C6-612FDE039EB1}" name="2023" dataDxfId="82" dataCellStyle="Pourcentage"/>
    <tableColumn id="5" xr3:uid="{3E78EBB7-B822-4E1A-8B1C-21210F7A0897}" name="2024" dataDxfId="81" dataCellStyle="Pourcentage"/>
    <tableColumn id="6" xr3:uid="{A855D349-55CA-43CA-A4EF-538429DC1578}" name="2025" dataDxfId="80" dataCellStyle="Pourcentage"/>
    <tableColumn id="7" xr3:uid="{F62F617F-AAAB-4DE2-B9E6-312E2400A340}" name="2026" dataDxfId="79" dataCellStyle="Pourcentage"/>
    <tableColumn id="8" xr3:uid="{3DA1C31A-1DF6-4AE2-8166-D62286E0D354}" name="2027" dataDxfId="78" dataCellStyle="Pourcentage"/>
    <tableColumn id="9" xr3:uid="{37E9F30C-C485-4801-9594-FEE19E896CA0}" name="2028" dataDxfId="77" dataCellStyle="Pourcentage"/>
    <tableColumn id="10" xr3:uid="{8402B134-43CA-4ED6-82E6-0AE79BB08787}" name="2029" dataDxfId="76" dataCellStyle="Pourcentag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6EFBDC-C8CD-4AA3-BDEC-EFB320AC04A2}" name="Tableau4" displayName="Tableau4" ref="B5:G13" totalsRowShown="0" headerRowDxfId="67" dataDxfId="66">
  <autoFilter ref="B5:G13" xr:uid="{0D6EFBDC-C8CD-4AA3-BDEC-EFB320AC04A2}"/>
  <tableColumns count="6">
    <tableColumn id="1" xr3:uid="{DFF4B059-D0E5-4CA1-B2D4-281895A1ABDD}" name="Colonne1" dataDxfId="73"/>
    <tableColumn id="2" xr3:uid="{EA0AF1DE-06EF-46BA-898F-C2784443379D}" name="2020" dataDxfId="72"/>
    <tableColumn id="3" xr3:uid="{B4096951-AA85-43CA-9623-511FA08B177C}" name="2021" dataDxfId="71"/>
    <tableColumn id="4" xr3:uid="{CBE4457B-844B-4DDA-AB05-47421D3347F7}" name="2022" dataDxfId="70"/>
    <tableColumn id="5" xr3:uid="{65A66A3B-E098-4BA6-A910-F91DC27F8E10}" name="2023" dataDxfId="69"/>
    <tableColumn id="6" xr3:uid="{BC452564-CB41-4CB3-A17B-FC5470838F73}" name="2024" dataDxfId="68"/>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D76B9F-AE88-4CFA-B824-EDE000C8DA6F}" name="Tableau5" displayName="Tableau5" ref="B16:F21" totalsRowShown="0" headerRowDxfId="60" dataDxfId="59">
  <autoFilter ref="B16:F21" xr:uid="{DFD76B9F-AE88-4CFA-B824-EDE000C8DA6F}"/>
  <tableColumns count="5">
    <tableColumn id="1" xr3:uid="{11F2496F-46A7-438A-B1EC-0295CD52D370}" name="Colonne1" dataDxfId="65"/>
    <tableColumn id="2" xr3:uid="{8D5BA382-8246-4071-B721-8D5CD58E31D6}" name="2021" dataDxfId="64" dataCellStyle="Milliers"/>
    <tableColumn id="3" xr3:uid="{9C39008F-B68E-4984-9E78-3686EE762C77}" name="2022" dataDxfId="63" dataCellStyle="Milliers"/>
    <tableColumn id="4" xr3:uid="{9AF21595-C81B-4E95-8C06-70A21F1C5557}" name="2023" dataDxfId="62" dataCellStyle="Milliers"/>
    <tableColumn id="5" xr3:uid="{9EA1F71D-E98F-4953-9554-1BF3FF0CE97D}" name="2024" dataDxfId="61" dataCellStyle="Milliers"/>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12BE8E-13CB-465A-BB47-59537E66D464}" name="Tableau6" displayName="Tableau6" ref="B25:F32" totalsRowShown="0" headerRowDxfId="53" dataDxfId="52" dataCellStyle="Pourcentage">
  <autoFilter ref="B25:F32" xr:uid="{4312BE8E-13CB-465A-BB47-59537E66D464}"/>
  <tableColumns count="5">
    <tableColumn id="1" xr3:uid="{D8BF71D3-382E-4FC1-9689-61C18916889D}" name="En %" dataDxfId="58"/>
    <tableColumn id="2" xr3:uid="{1B0C4AC8-00D0-415E-8978-C348C1EC54C9}" name="2021" dataDxfId="57" dataCellStyle="Pourcentage"/>
    <tableColumn id="3" xr3:uid="{0DB9D3EA-962F-447F-936D-24E0AFB8694D}" name="2022" dataDxfId="56" dataCellStyle="Pourcentage"/>
    <tableColumn id="4" xr3:uid="{4BB4BA89-8D67-4ADA-A833-171BC89827F4}" name="2023" dataDxfId="55" dataCellStyle="Pourcentage"/>
    <tableColumn id="5" xr3:uid="{88C3CB2A-D6D0-47BB-9014-5D4D0C69A166}" name="2024" dataDxfId="54" dataCellStyle="Pourcentage"/>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1AA7B6-ABB7-4E08-A962-E0BA05AB069F}" name="Tableau7" displayName="Tableau7" ref="B40:H44" totalsRowShown="0" headerRowDxfId="99" dataDxfId="98">
  <autoFilter ref="B40:H44" xr:uid="{111AA7B6-ABB7-4E08-A962-E0BA05AB069F}"/>
  <tableColumns count="7">
    <tableColumn id="1" xr3:uid="{B9BBCE5B-C0A2-4230-B50B-E0C3FAD828F9}" name="Colonne1" dataDxfId="106"/>
    <tableColumn id="2" xr3:uid="{F8387CAF-ADED-4692-AE51-D3AA14374752}" name="2025" dataDxfId="105" dataCellStyle="Milliers"/>
    <tableColumn id="3" xr3:uid="{E2063FE1-5A20-494B-BB12-B578C7EA1A9D}" name="2026" dataDxfId="104" dataCellStyle="Milliers"/>
    <tableColumn id="4" xr3:uid="{B1939E89-3D65-4DA5-9A7A-CDA5A7A97BEB}" name="2027" dataDxfId="103" dataCellStyle="Milliers"/>
    <tableColumn id="5" xr3:uid="{908FA688-0A1A-45E3-882E-E6396954B9C4}" name="2028" dataDxfId="102" dataCellStyle="Milliers"/>
    <tableColumn id="6" xr3:uid="{F255C082-2167-433B-98A5-3AB9CFDF8CEA}" name="2029" dataDxfId="101" dataCellStyle="Milliers"/>
    <tableColumn id="7" xr3:uid="{F0585D3A-AECB-4D4C-ADEA-CCDDD23CC512}" name="…" dataDxfId="100" dataCellStyle="Millier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7695331-0F52-4F87-8142-A7F4F7182905}" name="Tableau8" displayName="Tableau8" ref="A3:I10" totalsRowShown="0" headerRowDxfId="119" dataDxfId="118">
  <autoFilter ref="A3:I10" xr:uid="{B7695331-0F52-4F87-8142-A7F4F7182905}"/>
  <tableColumns count="9">
    <tableColumn id="1" xr3:uid="{E66509B6-30E3-42DE-9144-359C904AE6EB}" name="Colonne1" dataDxfId="128"/>
    <tableColumn id="2" xr3:uid="{A0521500-FAC5-4E66-BBF6-9F06E2D13B70}" name="Entreprise" dataDxfId="127"/>
    <tableColumn id="3" xr3:uid="{BF60649E-10CD-433E-8D8E-D88F10600F29}" name="Ticket" dataDxfId="126"/>
    <tableColumn id="4" xr3:uid="{32057BD4-F8C9-44FB-8D18-7E67D96CBB51}" name="Market Cap" dataDxfId="125" dataCellStyle="Milliers"/>
    <tableColumn id="5" xr3:uid="{911272F9-49D0-42BF-90DB-8BFC7DA6D336}" name="EV" dataDxfId="124" dataCellStyle="Milliers"/>
    <tableColumn id="6" xr3:uid="{C5E09F72-622D-4D65-BD4C-0FAF7336FC4E}" name="EV/EBITDA" dataDxfId="123" dataCellStyle="Milliers"/>
    <tableColumn id="7" xr3:uid="{6DF79625-57E2-483F-98CC-91999D1A835B}" name="EBITDA" dataDxfId="122" dataCellStyle="Milliers">
      <calculatedColumnFormula>E4/F4</calculatedColumnFormula>
    </tableColumn>
    <tableColumn id="8" xr3:uid="{29E79374-EECB-4BBF-9653-75D9B1FDD03A}" name="Dette Nette" dataDxfId="121" dataCellStyle="Milliers">
      <calculatedColumnFormula>E4-D4</calculatedColumnFormula>
    </tableColumn>
    <tableColumn id="9" xr3:uid="{9AA3DDED-0CCB-4550-84FF-16E4B6169166}" name="Unité" dataDxfId="120"/>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02D42F-852A-40CB-9F61-C35D6B08A76A}" name="Tableau9" displayName="Tableau9" ref="A16:I23" totalsRowShown="0" headerRowDxfId="108" dataDxfId="107">
  <autoFilter ref="A16:I23" xr:uid="{D802D42F-852A-40CB-9F61-C35D6B08A76A}"/>
  <tableColumns count="9">
    <tableColumn id="1" xr3:uid="{E14215EE-B8E1-4F39-B240-53C08542DC08}" name="Colonne1" dataDxfId="117"/>
    <tableColumn id="2" xr3:uid="{3CF30F5E-BD81-4E6B-BB30-4B5B423EE613}" name="Entreprise" dataDxfId="116"/>
    <tableColumn id="3" xr3:uid="{B22FCE36-1E02-47DC-B451-2A3D516A3BFF}" name="Ticket" dataDxfId="115"/>
    <tableColumn id="4" xr3:uid="{6E8572B9-1BEB-4FD8-87F2-F7F278CC91A5}" name="Market Cap" dataDxfId="114">
      <calculatedColumnFormula>D4*$C$13</calculatedColumnFormula>
    </tableColumn>
    <tableColumn id="5" xr3:uid="{8AF45170-4C2C-4275-9B99-1C5DEA9F1DA8}" name="EV" dataDxfId="113">
      <calculatedColumnFormula>E4*$C$13</calculatedColumnFormula>
    </tableColumn>
    <tableColumn id="6" xr3:uid="{40E6D3CA-F0ED-4A7D-B820-DC0F0C07DA54}" name="EV/EBITDA" dataDxfId="112">
      <calculatedColumnFormula>F4</calculatedColumnFormula>
    </tableColumn>
    <tableColumn id="7" xr3:uid="{E40F3790-0A3E-406A-A9FA-DB08FEDD71C2}" name="EBITDA" dataDxfId="111">
      <calculatedColumnFormula>E17/F17</calculatedColumnFormula>
    </tableColumn>
    <tableColumn id="8" xr3:uid="{01356E2F-3974-4BED-9B01-6AF2311E7B43}" name="Dette Nette" dataDxfId="110">
      <calculatedColumnFormula>E17-D17</calculatedColumnFormula>
    </tableColumn>
    <tableColumn id="9" xr3:uid="{76B82E5B-1FFD-4DAA-B704-E6ADCBE4D541}" name="Unité" dataDxfId="109"/>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B8790AA-532A-4C9E-8A38-4F5FC512DBFE}" name="Tableau16" displayName="Tableau16" ref="B4:C12" totalsRowShown="0" dataDxfId="15" dataCellStyle="Milliers">
  <autoFilter ref="B4:C12" xr:uid="{DB8790AA-532A-4C9E-8A38-4F5FC512DBFE}"/>
  <tableColumns count="2">
    <tableColumn id="1" xr3:uid="{9B5D1397-A2D8-4329-B932-0994996B77BC}" name="Valeur d'entreprise d'entrée" dataDxfId="24" dataCellStyle="Milliers"/>
    <tableColumn id="2" xr3:uid="{92845FFA-481C-4FA4-B0D3-CD7DC7DDDB03}" name=" 13,998.68 " dataDxfId="23" dataCellStyle="Milliers"/>
  </tableColumns>
  <tableStyleInfo name="TableStyleMedium1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F23129-ACBC-411C-BB5F-651EC30EA935}" name="Tableau17" displayName="Tableau17" ref="B22:G27" totalsRowShown="0" headerRowDxfId="14" dataDxfId="13" dataCellStyle="Milliers">
  <autoFilter ref="B22:G27" xr:uid="{27F23129-ACBC-411C-BB5F-651EC30EA935}"/>
  <tableColumns count="6">
    <tableColumn id="1" xr3:uid="{1C3EC540-36DB-47D1-81A6-59821DF89E16}" name=" " dataDxfId="22" dataCellStyle="Milliers"/>
    <tableColumn id="2" xr3:uid="{88B45D4F-68B4-4D97-B95C-0C171240EFE7}" name="2025" dataDxfId="21" dataCellStyle="Milliers"/>
    <tableColumn id="3" xr3:uid="{D9783B7B-5676-4538-8424-80DA3197D613}" name="2026" dataDxfId="20" dataCellStyle="Milliers"/>
    <tableColumn id="4" xr3:uid="{6685B955-0FC1-4CD2-AA85-3C6EE097B44D}" name="2027" dataDxfId="19" dataCellStyle="Milliers"/>
    <tableColumn id="5" xr3:uid="{6597EC49-99D0-45D6-AFB8-54B2EE865D6E}" name="2028" dataDxfId="18" dataCellStyle="Milliers"/>
    <tableColumn id="6" xr3:uid="{8504EDF1-D70E-49F0-9190-8590370726F6}" name="2029" dataDxfId="17" dataCellStyle="Milliers"/>
  </tableColumns>
  <tableStyleInfo name="TableStyleMedium1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F629C00-77A7-4593-90BF-A96EBFB2B196}" name="Tableau18" displayName="Tableau18" ref="B40:G42" totalsRowShown="0" headerRowDxfId="16">
  <autoFilter ref="B40:G42" xr:uid="{9F629C00-77A7-4593-90BF-A96EBFB2B196}"/>
  <tableColumns count="6">
    <tableColumn id="1" xr3:uid="{53240197-EA6F-44D1-9C62-A4C19E27DB94}" name=" "/>
    <tableColumn id="2" xr3:uid="{0E0879DC-5F3F-4C20-BEE8-E3EAD10501E2}" name="2025">
      <calculatedColumnFormula>IRR(C40:G40)</calculatedColumnFormula>
    </tableColumn>
    <tableColumn id="3" xr3:uid="{93E0FCF2-A0CD-4FEE-9DB8-C4D6D28EE9BA}" name="2026"/>
    <tableColumn id="4" xr3:uid="{3D9A2D01-8E7B-4670-886F-83C91FE321B3}" name="2027"/>
    <tableColumn id="5" xr3:uid="{53A793C1-4A38-4D97-BC20-0105CCBD054F}" name="2028"/>
    <tableColumn id="6" xr3:uid="{E89010CD-73FD-41FC-A57D-598B507C4CDD}" name="2029"/>
  </tableColumns>
  <tableStyleInfo name="TableStyleMedium1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6D88CBF-4EB4-4FF7-82FE-2AA89E3D6B88}" name="Tableau1620" displayName="Tableau1620" ref="B19:C27" totalsRowShown="0" dataDxfId="12" dataCellStyle="Milliers">
  <autoFilter ref="B19:C27" xr:uid="{16D88CBF-4EB4-4FF7-82FE-2AA89E3D6B88}"/>
  <tableColumns count="2">
    <tableColumn id="1" xr3:uid="{AACCF8D9-1E88-4AA5-8A4B-370E57156B71}" name="Valeur d'entreprise d'entrée" dataDxfId="11" dataCellStyle="Milliers"/>
    <tableColumn id="2" xr3:uid="{9B62480C-E515-4114-9F87-475EE223FB09}" name=" 13,998.68 " dataDxfId="10" dataCellStyle="Milliers"/>
  </tableColumns>
  <tableStyleInfo name="TableStyleMedium1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F7FE800-6471-4EF0-A177-879B366BB2B5}" name="Tableau1721" displayName="Tableau1721" ref="B37:G43" totalsRowShown="0" headerRowDxfId="9" dataDxfId="8" dataCellStyle="Milliers">
  <autoFilter ref="B37:G43" xr:uid="{BF7FE800-6471-4EF0-A177-879B366BB2B5}"/>
  <tableColumns count="6">
    <tableColumn id="1" xr3:uid="{C59B1526-5247-44EB-A999-6836868E8D40}" name=" " dataDxfId="7" dataCellStyle="Milliers"/>
    <tableColumn id="2" xr3:uid="{3F10380D-8A6F-4976-8DDF-80A135BB6B96}" name="2025" dataDxfId="6" dataCellStyle="Milliers"/>
    <tableColumn id="3" xr3:uid="{0DB7BBE5-4094-4983-A37B-F10FBFA20BD0}" name="2026" dataDxfId="5" dataCellStyle="Milliers"/>
    <tableColumn id="4" xr3:uid="{5D86E402-5D46-4966-8C7F-F9A28B142DAB}" name="2027" dataDxfId="4" dataCellStyle="Milliers"/>
    <tableColumn id="5" xr3:uid="{B4BF120D-AEEF-4649-9F48-C0B3709B4265}" name="2028" dataDxfId="3" dataCellStyle="Milliers"/>
    <tableColumn id="6" xr3:uid="{446E9E1E-A1B1-4999-B98D-9F96E364B855}" name="2029" dataDxfId="2" dataCellStyle="Milliers"/>
  </tableColumns>
  <tableStyleInfo name="TableStyleMedium1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A467583-4B5E-43AF-830A-5D97B02C0EE0}" name="Tableau1822" displayName="Tableau1822" ref="B56:G58" totalsRowShown="0" headerRowDxfId="1">
  <autoFilter ref="B56:G58" xr:uid="{DA467583-4B5E-43AF-830A-5D97B02C0EE0}"/>
  <tableColumns count="6">
    <tableColumn id="1" xr3:uid="{A04F40AC-64A3-476C-A647-FF0AD079C68A}" name=" "/>
    <tableColumn id="2" xr3:uid="{0986ECC6-3DEB-4760-BEA2-0E4EB5C94627}" name="2025">
      <calculatedColumnFormula>IRR(C56:G56)</calculatedColumnFormula>
    </tableColumn>
    <tableColumn id="3" xr3:uid="{B93EB5DD-7A9D-4733-A748-F22677D37F95}" name="2026"/>
    <tableColumn id="4" xr3:uid="{73A08D09-124D-47FE-B349-1880335A1A3C}" name="2027"/>
    <tableColumn id="5" xr3:uid="{D46BBDF3-1345-45DC-9033-8B5545666925}" name="2028"/>
    <tableColumn id="6" xr3:uid="{2CC4E9F7-E49A-49E6-BE04-2A4CFD93959F}" name="2029" dataDxfId="0">
      <calculatedColumnFormula>C54</calculatedColumnFormula>
    </tableColumn>
  </tableColumns>
  <tableStyleInfo name="TableStyleMedium1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printerSettings" Target="../printerSettings/printerSettings1.bin"/><Relationship Id="rId7" Type="http://schemas.openxmlformats.org/officeDocument/2006/relationships/table" Target="../tables/table4.xm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fr.finance.yahoo.com/quote/AC.PA/" TargetMode="Externa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5" Type="http://schemas.openxmlformats.org/officeDocument/2006/relationships/table" Target="../tables/table10.xml"/><Relationship Id="rId4" Type="http://schemas.openxmlformats.org/officeDocument/2006/relationships/table" Target="../tables/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hyperlink" Target="https://fr.finance.yahoo.com/quote/WH/" TargetMode="External"/><Relationship Id="rId7" Type="http://schemas.openxmlformats.org/officeDocument/2006/relationships/hyperlink" Target="https://finance.yahoo.com/quote/0069.HK/" TargetMode="External"/><Relationship Id="rId2" Type="http://schemas.openxmlformats.org/officeDocument/2006/relationships/hyperlink" Target="https://finance.yahoo.com/quote/HST/" TargetMode="External"/><Relationship Id="rId1" Type="http://schemas.openxmlformats.org/officeDocument/2006/relationships/hyperlink" Target="https://finance.yahoo.com/quote/CHH/" TargetMode="External"/><Relationship Id="rId6" Type="http://schemas.openxmlformats.org/officeDocument/2006/relationships/hyperlink" Target="https://finance.yahoo.com/quote/H/" TargetMode="External"/><Relationship Id="rId5" Type="http://schemas.openxmlformats.org/officeDocument/2006/relationships/hyperlink" Target="https://finance.yahoo.com/quote/WTB.L/" TargetMode="External"/><Relationship Id="rId4" Type="http://schemas.openxmlformats.org/officeDocument/2006/relationships/hyperlink" Target="https://finance.yahoo.com/quote/HTHT/" TargetMode="External"/><Relationship Id="rId9"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20B44-E641-4790-A7FD-E18C08E19CA2}">
  <dimension ref="A4:G49"/>
  <sheetViews>
    <sheetView zoomScale="53" zoomScaleNormal="53" workbookViewId="0">
      <selection activeCell="E7" sqref="E7"/>
    </sheetView>
  </sheetViews>
  <sheetFormatPr baseColWidth="10" defaultRowHeight="14.4" x14ac:dyDescent="0.3"/>
  <cols>
    <col min="1" max="1" width="61.44140625" style="56" customWidth="1"/>
    <col min="2" max="5" width="11.5546875" style="56"/>
    <col min="6" max="6" width="13.33203125" style="56" customWidth="1"/>
    <col min="7" max="16384" width="11.5546875" style="56"/>
  </cols>
  <sheetData>
    <row r="4" spans="1:7" x14ac:dyDescent="0.3">
      <c r="A4" s="131" t="s">
        <v>2</v>
      </c>
      <c r="B4" s="131"/>
      <c r="C4" s="131"/>
      <c r="D4" s="131"/>
      <c r="E4" s="131"/>
      <c r="F4" s="130"/>
    </row>
    <row r="5" spans="1:7" x14ac:dyDescent="0.3">
      <c r="A5" s="106" t="s">
        <v>46</v>
      </c>
      <c r="B5" s="107" t="s">
        <v>83</v>
      </c>
      <c r="C5" s="107" t="s">
        <v>84</v>
      </c>
      <c r="D5" s="107" t="s">
        <v>85</v>
      </c>
      <c r="E5" s="107" t="s">
        <v>86</v>
      </c>
    </row>
    <row r="6" spans="1:7" x14ac:dyDescent="0.3">
      <c r="A6" s="106" t="s">
        <v>3</v>
      </c>
      <c r="B6" s="106">
        <v>2204</v>
      </c>
      <c r="C6" s="106">
        <v>4224</v>
      </c>
      <c r="D6" s="106">
        <v>5056</v>
      </c>
      <c r="E6" s="106">
        <v>5606</v>
      </c>
      <c r="F6" s="56" t="s">
        <v>10</v>
      </c>
    </row>
    <row r="7" spans="1:7" x14ac:dyDescent="0.3">
      <c r="A7" s="106" t="s">
        <v>23</v>
      </c>
      <c r="B7" s="106">
        <v>22</v>
      </c>
      <c r="C7" s="106">
        <v>675</v>
      </c>
      <c r="D7" s="106">
        <v>1003</v>
      </c>
      <c r="E7" s="106">
        <f>E6-4486</f>
        <v>1120</v>
      </c>
      <c r="F7" s="56" t="s">
        <v>10</v>
      </c>
      <c r="G7" s="56" t="s">
        <v>19</v>
      </c>
    </row>
    <row r="8" spans="1:7" x14ac:dyDescent="0.3">
      <c r="A8" s="106" t="s">
        <v>1</v>
      </c>
      <c r="B8" s="106">
        <v>249</v>
      </c>
      <c r="C8" s="106">
        <v>228</v>
      </c>
      <c r="D8" s="106">
        <v>279</v>
      </c>
      <c r="E8" s="106">
        <v>341</v>
      </c>
      <c r="F8" s="56" t="s">
        <v>10</v>
      </c>
    </row>
    <row r="9" spans="1:7" x14ac:dyDescent="0.3">
      <c r="A9" s="106" t="s">
        <v>14</v>
      </c>
      <c r="B9" s="106">
        <v>53</v>
      </c>
      <c r="C9" s="106">
        <v>543</v>
      </c>
      <c r="D9" s="106">
        <v>779</v>
      </c>
      <c r="E9" s="106">
        <f xml:space="preserve"> 786 + 188</f>
        <v>974</v>
      </c>
      <c r="F9" s="56" t="s">
        <v>10</v>
      </c>
      <c r="G9" s="56" t="s">
        <v>13</v>
      </c>
    </row>
    <row r="10" spans="1:7" x14ac:dyDescent="0.3">
      <c r="A10" s="106" t="s">
        <v>11</v>
      </c>
      <c r="B10" s="106">
        <v>-109</v>
      </c>
      <c r="C10" s="106">
        <v>-84</v>
      </c>
      <c r="D10" s="106">
        <v>-100</v>
      </c>
      <c r="E10" s="106">
        <v>-124</v>
      </c>
      <c r="F10" s="56" t="s">
        <v>10</v>
      </c>
    </row>
    <row r="11" spans="1:7" x14ac:dyDescent="0.3">
      <c r="A11" s="106" t="s">
        <v>15</v>
      </c>
      <c r="B11" s="106">
        <f>B10+B9</f>
        <v>-56</v>
      </c>
      <c r="C11" s="106">
        <f t="shared" ref="C11:E11" si="0">C10+C9</f>
        <v>459</v>
      </c>
      <c r="D11" s="106">
        <f t="shared" si="0"/>
        <v>679</v>
      </c>
      <c r="E11" s="106">
        <f t="shared" si="0"/>
        <v>850</v>
      </c>
      <c r="F11" s="56" t="s">
        <v>10</v>
      </c>
    </row>
    <row r="12" spans="1:7" x14ac:dyDescent="0.3">
      <c r="A12" s="106" t="s">
        <v>12</v>
      </c>
      <c r="B12" s="106">
        <v>69</v>
      </c>
      <c r="C12" s="106">
        <v>-76</v>
      </c>
      <c r="D12" s="106">
        <v>-39</v>
      </c>
      <c r="E12" s="106">
        <v>-193</v>
      </c>
      <c r="F12" s="56" t="s">
        <v>10</v>
      </c>
    </row>
    <row r="13" spans="1:7" x14ac:dyDescent="0.3">
      <c r="A13" s="106" t="s">
        <v>16</v>
      </c>
      <c r="B13" s="109">
        <v>0</v>
      </c>
      <c r="C13" s="109">
        <f>-C12/C11</f>
        <v>0.16557734204793029</v>
      </c>
      <c r="D13" s="109">
        <f t="shared" ref="D13:E13" si="1">-D12/D11</f>
        <v>5.7437407952871868E-2</v>
      </c>
      <c r="E13" s="109">
        <f t="shared" si="1"/>
        <v>0.22705882352941176</v>
      </c>
    </row>
    <row r="14" spans="1:7" x14ac:dyDescent="0.3">
      <c r="A14" s="106" t="s">
        <v>17</v>
      </c>
      <c r="B14" s="109">
        <f>($C$13+$E$13)/2</f>
        <v>0.19631808278867102</v>
      </c>
      <c r="C14" s="109">
        <f t="shared" ref="C14:E14" si="2">($C$13+$E$13)/2</f>
        <v>0.19631808278867102</v>
      </c>
      <c r="D14" s="109">
        <f t="shared" si="2"/>
        <v>0.19631808278867102</v>
      </c>
      <c r="E14" s="109">
        <f t="shared" si="2"/>
        <v>0.19631808278867102</v>
      </c>
      <c r="G14" s="56" t="s">
        <v>18</v>
      </c>
    </row>
    <row r="15" spans="1:7" x14ac:dyDescent="0.3">
      <c r="A15" s="106" t="s">
        <v>20</v>
      </c>
      <c r="B15" s="109">
        <f>B14-B13</f>
        <v>0.19631808278867102</v>
      </c>
      <c r="C15" s="109">
        <f t="shared" ref="C15:E15" si="3">C14-C13</f>
        <v>3.0740740740740735E-2</v>
      </c>
      <c r="D15" s="109">
        <f t="shared" si="3"/>
        <v>0.13888067483579916</v>
      </c>
      <c r="E15" s="109">
        <f t="shared" si="3"/>
        <v>-3.0740740740740735E-2</v>
      </c>
    </row>
    <row r="18" spans="1:7" x14ac:dyDescent="0.3">
      <c r="A18" s="131" t="s">
        <v>32</v>
      </c>
      <c r="B18" s="131"/>
      <c r="C18" s="131"/>
      <c r="D18" s="131"/>
      <c r="E18" s="131"/>
      <c r="F18" s="132"/>
    </row>
    <row r="19" spans="1:7" x14ac:dyDescent="0.3">
      <c r="A19" s="110" t="s">
        <v>46</v>
      </c>
      <c r="B19" s="111" t="s">
        <v>83</v>
      </c>
      <c r="C19" s="111" t="s">
        <v>84</v>
      </c>
      <c r="D19" s="111" t="s">
        <v>85</v>
      </c>
      <c r="E19" s="111" t="s">
        <v>86</v>
      </c>
    </row>
    <row r="20" spans="1:7" x14ac:dyDescent="0.3">
      <c r="A20" s="110" t="s">
        <v>24</v>
      </c>
      <c r="B20" s="110">
        <v>-240</v>
      </c>
      <c r="C20" s="110">
        <v>511</v>
      </c>
      <c r="D20" s="110">
        <v>669</v>
      </c>
      <c r="E20" s="110">
        <v>733</v>
      </c>
      <c r="F20" s="56" t="s">
        <v>25</v>
      </c>
    </row>
    <row r="21" spans="1:7" x14ac:dyDescent="0.3">
      <c r="A21" s="110" t="s">
        <v>21</v>
      </c>
      <c r="B21" s="110">
        <v>-80</v>
      </c>
      <c r="C21" s="110">
        <v>-111</v>
      </c>
      <c r="D21" s="110">
        <v>-254</v>
      </c>
      <c r="E21" s="110">
        <v>-293</v>
      </c>
    </row>
    <row r="22" spans="1:7" x14ac:dyDescent="0.3">
      <c r="A22" s="110" t="s">
        <v>28</v>
      </c>
      <c r="B22" s="110">
        <v>-38</v>
      </c>
      <c r="C22" s="110">
        <v>-131</v>
      </c>
      <c r="D22" s="110">
        <v>-109</v>
      </c>
      <c r="E22" s="110">
        <v>-58</v>
      </c>
    </row>
    <row r="23" spans="1:7" x14ac:dyDescent="0.3">
      <c r="A23" s="110" t="s">
        <v>29</v>
      </c>
      <c r="B23" s="110">
        <v>-10</v>
      </c>
      <c r="C23" s="110">
        <v>18</v>
      </c>
      <c r="D23" s="110">
        <v>-29</v>
      </c>
      <c r="E23" s="110">
        <v>18</v>
      </c>
      <c r="F23" s="56" t="s">
        <v>26</v>
      </c>
      <c r="G23" s="56" t="s">
        <v>31</v>
      </c>
    </row>
    <row r="24" spans="1:7" x14ac:dyDescent="0.3">
      <c r="A24" s="133" t="s">
        <v>22</v>
      </c>
      <c r="B24" s="110">
        <v>-88</v>
      </c>
      <c r="C24" s="110">
        <v>-73</v>
      </c>
      <c r="D24" s="110">
        <v>-100</v>
      </c>
      <c r="E24" s="110">
        <v>-106</v>
      </c>
      <c r="G24" s="56" t="s">
        <v>30</v>
      </c>
    </row>
    <row r="27" spans="1:7" x14ac:dyDescent="0.3">
      <c r="A27" s="131" t="s">
        <v>5</v>
      </c>
      <c r="B27" s="131"/>
      <c r="C27" s="131"/>
      <c r="D27" s="131"/>
      <c r="E27" s="131"/>
      <c r="F27" s="131"/>
    </row>
    <row r="28" spans="1:7" x14ac:dyDescent="0.3">
      <c r="A28" s="56" t="s">
        <v>46</v>
      </c>
      <c r="B28" s="111" t="s">
        <v>99</v>
      </c>
      <c r="C28" s="111" t="s">
        <v>83</v>
      </c>
      <c r="D28" s="111" t="s">
        <v>84</v>
      </c>
      <c r="E28" s="111" t="s">
        <v>85</v>
      </c>
      <c r="F28" s="111" t="s">
        <v>86</v>
      </c>
    </row>
    <row r="29" spans="1:7" x14ac:dyDescent="0.3">
      <c r="A29" s="56" t="s">
        <v>6</v>
      </c>
      <c r="C29" s="56">
        <v>1666</v>
      </c>
      <c r="D29" s="56">
        <v>1643</v>
      </c>
      <c r="E29" s="56">
        <v>1283</v>
      </c>
      <c r="F29" s="56">
        <v>1244</v>
      </c>
    </row>
    <row r="30" spans="1:7" x14ac:dyDescent="0.3">
      <c r="A30" s="56" t="s">
        <v>7</v>
      </c>
      <c r="B30" s="56">
        <f t="shared" ref="B30" si="4">B31+B32</f>
        <v>3442</v>
      </c>
      <c r="C30" s="56">
        <f t="shared" ref="C30" si="5">C31+C32</f>
        <v>3202</v>
      </c>
      <c r="D30" s="56">
        <f t="shared" ref="D30" si="6">D31+D32</f>
        <v>2869</v>
      </c>
      <c r="E30" s="56">
        <f t="shared" ref="E30" si="7">E31+E32</f>
        <v>2623</v>
      </c>
      <c r="F30" s="56">
        <f>F31+F32</f>
        <v>3002</v>
      </c>
    </row>
    <row r="31" spans="1:7" x14ac:dyDescent="0.3">
      <c r="A31" s="56" t="s">
        <v>123</v>
      </c>
      <c r="B31" s="56">
        <f>2473</f>
        <v>2473</v>
      </c>
      <c r="C31" s="56">
        <v>2572</v>
      </c>
      <c r="D31" s="56">
        <v>2261</v>
      </c>
      <c r="E31" s="56">
        <v>1887</v>
      </c>
      <c r="F31" s="56">
        <v>2524</v>
      </c>
    </row>
    <row r="32" spans="1:7" x14ac:dyDescent="0.3">
      <c r="A32" s="56" t="s">
        <v>124</v>
      </c>
      <c r="B32" s="56">
        <f>969</f>
        <v>969</v>
      </c>
      <c r="C32" s="56">
        <v>630</v>
      </c>
      <c r="D32" s="56">
        <v>608</v>
      </c>
      <c r="E32" s="56">
        <v>736</v>
      </c>
      <c r="F32" s="56">
        <v>478</v>
      </c>
    </row>
    <row r="33" spans="1:7" x14ac:dyDescent="0.3">
      <c r="A33" s="56" t="s">
        <v>8</v>
      </c>
      <c r="B33" s="56">
        <f>B30-B29</f>
        <v>3442</v>
      </c>
      <c r="C33" s="56">
        <f>C30-C29</f>
        <v>1536</v>
      </c>
      <c r="D33" s="56">
        <f>D30-D29</f>
        <v>1226</v>
      </c>
      <c r="E33" s="56">
        <f t="shared" ref="E33:F33" si="8">E30-E29</f>
        <v>1340</v>
      </c>
      <c r="F33" s="56">
        <f t="shared" si="8"/>
        <v>1758</v>
      </c>
    </row>
    <row r="34" spans="1:7" x14ac:dyDescent="0.3">
      <c r="A34" s="56" t="s">
        <v>138</v>
      </c>
      <c r="F34" s="56">
        <v>5469</v>
      </c>
    </row>
    <row r="35" spans="1:7" x14ac:dyDescent="0.3">
      <c r="A35" s="56" t="s">
        <v>122</v>
      </c>
    </row>
    <row r="37" spans="1:7" x14ac:dyDescent="0.3">
      <c r="A37" s="131" t="s">
        <v>115</v>
      </c>
      <c r="B37" s="131"/>
      <c r="C37" s="132"/>
      <c r="D37" s="132"/>
      <c r="E37" s="132"/>
      <c r="F37" s="132"/>
    </row>
    <row r="38" spans="1:7" x14ac:dyDescent="0.3">
      <c r="A38" s="56" t="s">
        <v>46</v>
      </c>
      <c r="B38" s="56" t="s">
        <v>110</v>
      </c>
      <c r="C38" s="56" t="s">
        <v>109</v>
      </c>
    </row>
    <row r="39" spans="1:7" x14ac:dyDescent="0.3">
      <c r="A39" s="56" t="s">
        <v>144</v>
      </c>
      <c r="B39" s="123">
        <v>5.0099999999999999E-2</v>
      </c>
      <c r="C39" s="11" t="s">
        <v>108</v>
      </c>
    </row>
    <row r="40" spans="1:7" x14ac:dyDescent="0.3">
      <c r="A40" s="56" t="s">
        <v>107</v>
      </c>
      <c r="B40" s="56">
        <v>0.76</v>
      </c>
      <c r="C40" s="62" t="s">
        <v>111</v>
      </c>
    </row>
    <row r="41" spans="1:7" x14ac:dyDescent="0.3">
      <c r="A41" s="56" t="s">
        <v>113</v>
      </c>
      <c r="B41" s="123">
        <v>3.5000000000000003E-2</v>
      </c>
      <c r="C41" s="56" t="s">
        <v>112</v>
      </c>
    </row>
    <row r="42" spans="1:7" x14ac:dyDescent="0.3">
      <c r="A42" s="56" t="s">
        <v>117</v>
      </c>
      <c r="B42" s="56" t="s">
        <v>116</v>
      </c>
    </row>
    <row r="43" spans="1:7" x14ac:dyDescent="0.3">
      <c r="B43" s="124"/>
    </row>
    <row r="44" spans="1:7" x14ac:dyDescent="0.3">
      <c r="B44" s="124"/>
    </row>
    <row r="45" spans="1:7" x14ac:dyDescent="0.3">
      <c r="A45" s="131" t="s">
        <v>114</v>
      </c>
      <c r="B45" s="131"/>
      <c r="C45" s="131"/>
      <c r="D45" s="131"/>
      <c r="E45" s="131"/>
      <c r="F45" s="131"/>
    </row>
    <row r="46" spans="1:7" x14ac:dyDescent="0.3">
      <c r="A46" s="56" t="s">
        <v>46</v>
      </c>
      <c r="B46" s="134" t="s">
        <v>99</v>
      </c>
      <c r="C46" s="134" t="s">
        <v>83</v>
      </c>
      <c r="D46" s="134" t="s">
        <v>84</v>
      </c>
      <c r="E46" s="134" t="s">
        <v>85</v>
      </c>
      <c r="F46" s="134" t="s">
        <v>86</v>
      </c>
    </row>
    <row r="47" spans="1:7" x14ac:dyDescent="0.3">
      <c r="A47" s="56" t="s">
        <v>7</v>
      </c>
      <c r="B47" s="56">
        <v>3442</v>
      </c>
      <c r="C47" s="56">
        <v>3202</v>
      </c>
      <c r="D47" s="56">
        <v>2869</v>
      </c>
      <c r="E47" s="56">
        <v>2623</v>
      </c>
      <c r="F47" s="56">
        <v>3002</v>
      </c>
      <c r="G47" s="56" t="s">
        <v>9</v>
      </c>
    </row>
    <row r="48" spans="1:7" x14ac:dyDescent="0.3">
      <c r="A48" s="56" t="s">
        <v>120</v>
      </c>
      <c r="C48" s="56">
        <v>-83</v>
      </c>
      <c r="D48" s="56">
        <v>-85</v>
      </c>
      <c r="E48" s="56">
        <v>-94</v>
      </c>
      <c r="F48" s="56">
        <v>-97</v>
      </c>
      <c r="G48" s="56" t="s">
        <v>121</v>
      </c>
    </row>
    <row r="49" spans="1:7" x14ac:dyDescent="0.3">
      <c r="A49" s="56" t="s">
        <v>119</v>
      </c>
      <c r="C49" s="125">
        <v>0.02</v>
      </c>
      <c r="D49" s="123">
        <v>2.1000000000000001E-2</v>
      </c>
      <c r="E49" s="123">
        <v>2.9000000000000001E-2</v>
      </c>
      <c r="F49" s="123">
        <v>2.53E-2</v>
      </c>
      <c r="G49" s="56" t="s">
        <v>125</v>
      </c>
    </row>
  </sheetData>
  <mergeCells count="5">
    <mergeCell ref="A45:F45"/>
    <mergeCell ref="A37:B37"/>
    <mergeCell ref="A18:E18"/>
    <mergeCell ref="A4:E4"/>
    <mergeCell ref="A27:F27"/>
  </mergeCells>
  <hyperlinks>
    <hyperlink ref="C40" r:id="rId1" xr:uid="{0EA2ECCA-B79E-4903-9173-3C25A8FE7BC1}"/>
    <hyperlink ref="C39" r:id="rId2" xr:uid="{2EE28E3B-B76C-4D33-A9FE-9663902B57C3}"/>
  </hyperlinks>
  <pageMargins left="0.25" right="0.25" top="0.75" bottom="0.75" header="0.3" footer="0.3"/>
  <pageSetup orientation="landscape" r:id="rId3"/>
  <tableParts count="5">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F2E3-14A9-4199-8B45-8F02A0198E56}">
  <dimension ref="B2:N93"/>
  <sheetViews>
    <sheetView zoomScale="75" zoomScaleNormal="75" workbookViewId="0">
      <selection activeCell="C95" sqref="C95"/>
    </sheetView>
  </sheetViews>
  <sheetFormatPr baseColWidth="10" defaultRowHeight="14.4" x14ac:dyDescent="0.3"/>
  <cols>
    <col min="1" max="1" width="11.5546875" style="56"/>
    <col min="2" max="2" width="39.88671875" style="56" bestFit="1" customWidth="1"/>
    <col min="3" max="3" width="14.88671875" style="56" customWidth="1"/>
    <col min="4" max="16384" width="11.5546875" style="56"/>
  </cols>
  <sheetData>
    <row r="2" spans="2:7" x14ac:dyDescent="0.3">
      <c r="B2" s="105" t="s">
        <v>44</v>
      </c>
      <c r="C2" s="105"/>
      <c r="D2" s="105"/>
      <c r="E2" s="105"/>
      <c r="F2" s="105"/>
      <c r="G2" s="105"/>
    </row>
    <row r="4" spans="2:7" x14ac:dyDescent="0.3">
      <c r="B4" s="105" t="s">
        <v>2</v>
      </c>
      <c r="C4" s="105"/>
      <c r="D4" s="105"/>
      <c r="E4" s="105"/>
      <c r="F4" s="105"/>
      <c r="G4" s="105"/>
    </row>
    <row r="5" spans="2:7" x14ac:dyDescent="0.3">
      <c r="B5" s="106" t="s">
        <v>82</v>
      </c>
      <c r="C5" s="107" t="s">
        <v>99</v>
      </c>
      <c r="D5" s="107" t="s">
        <v>83</v>
      </c>
      <c r="E5" s="107" t="s">
        <v>84</v>
      </c>
      <c r="F5" s="107" t="s">
        <v>85</v>
      </c>
      <c r="G5" s="107" t="s">
        <v>86</v>
      </c>
    </row>
    <row r="6" spans="2:7" x14ac:dyDescent="0.3">
      <c r="B6" s="106" t="s">
        <v>3</v>
      </c>
      <c r="C6" s="108">
        <v>1621</v>
      </c>
      <c r="D6" s="108">
        <v>2204</v>
      </c>
      <c r="E6" s="108">
        <v>4224</v>
      </c>
      <c r="F6" s="108">
        <v>5056</v>
      </c>
      <c r="G6" s="108">
        <v>5606</v>
      </c>
    </row>
    <row r="7" spans="2:7" x14ac:dyDescent="0.3">
      <c r="B7" s="106" t="s">
        <v>23</v>
      </c>
      <c r="C7" s="108"/>
      <c r="D7" s="108">
        <v>22</v>
      </c>
      <c r="E7" s="108">
        <v>675</v>
      </c>
      <c r="F7" s="108">
        <v>1003</v>
      </c>
      <c r="G7" s="108">
        <v>1120</v>
      </c>
    </row>
    <row r="8" spans="2:7" x14ac:dyDescent="0.3">
      <c r="B8" s="106" t="s">
        <v>1</v>
      </c>
      <c r="C8" s="108"/>
      <c r="D8" s="108">
        <v>249</v>
      </c>
      <c r="E8" s="108">
        <v>228</v>
      </c>
      <c r="F8" s="108">
        <v>279</v>
      </c>
      <c r="G8" s="108">
        <v>341</v>
      </c>
    </row>
    <row r="9" spans="2:7" x14ac:dyDescent="0.3">
      <c r="B9" s="106" t="s">
        <v>14</v>
      </c>
      <c r="C9" s="108"/>
      <c r="D9" s="108">
        <v>53</v>
      </c>
      <c r="E9" s="108">
        <v>543</v>
      </c>
      <c r="F9" s="108">
        <v>779</v>
      </c>
      <c r="G9" s="108">
        <v>974</v>
      </c>
    </row>
    <row r="10" spans="2:7" x14ac:dyDescent="0.3">
      <c r="B10" s="106" t="s">
        <v>11</v>
      </c>
      <c r="C10" s="108"/>
      <c r="D10" s="108">
        <v>-109</v>
      </c>
      <c r="E10" s="108">
        <v>-84</v>
      </c>
      <c r="F10" s="108">
        <v>-100</v>
      </c>
      <c r="G10" s="108">
        <v>-124</v>
      </c>
    </row>
    <row r="11" spans="2:7" x14ac:dyDescent="0.3">
      <c r="B11" s="106" t="s">
        <v>15</v>
      </c>
      <c r="C11" s="108"/>
      <c r="D11" s="108">
        <v>-56</v>
      </c>
      <c r="E11" s="108">
        <v>459</v>
      </c>
      <c r="F11" s="108">
        <v>679</v>
      </c>
      <c r="G11" s="108">
        <v>850</v>
      </c>
    </row>
    <row r="12" spans="2:7" x14ac:dyDescent="0.3">
      <c r="B12" s="106" t="s">
        <v>12</v>
      </c>
      <c r="C12" s="108"/>
      <c r="D12" s="108">
        <v>69</v>
      </c>
      <c r="E12" s="108">
        <v>-76</v>
      </c>
      <c r="F12" s="108">
        <v>-39</v>
      </c>
      <c r="G12" s="108">
        <v>-193</v>
      </c>
    </row>
    <row r="13" spans="2:7" x14ac:dyDescent="0.3">
      <c r="B13" s="106" t="s">
        <v>17</v>
      </c>
      <c r="C13" s="106"/>
      <c r="D13" s="109">
        <v>0.19631808278867102</v>
      </c>
      <c r="E13" s="109">
        <v>0.19631808278867102</v>
      </c>
      <c r="F13" s="109">
        <v>0.19631808278867102</v>
      </c>
      <c r="G13" s="109">
        <v>0.19631808278867102</v>
      </c>
    </row>
    <row r="15" spans="2:7" x14ac:dyDescent="0.3">
      <c r="B15" s="105" t="s">
        <v>32</v>
      </c>
      <c r="C15" s="105"/>
      <c r="D15" s="105"/>
      <c r="E15" s="105"/>
      <c r="F15" s="105"/>
      <c r="G15" s="105"/>
    </row>
    <row r="16" spans="2:7" x14ac:dyDescent="0.3">
      <c r="B16" s="106" t="s">
        <v>82</v>
      </c>
      <c r="C16" s="107" t="s">
        <v>83</v>
      </c>
      <c r="D16" s="107" t="s">
        <v>84</v>
      </c>
      <c r="E16" s="107" t="s">
        <v>85</v>
      </c>
      <c r="F16" s="107" t="s">
        <v>86</v>
      </c>
      <c r="G16" s="107"/>
    </row>
    <row r="17" spans="2:9" x14ac:dyDescent="0.3">
      <c r="B17" s="106" t="s">
        <v>38</v>
      </c>
      <c r="C17" s="108">
        <v>-240</v>
      </c>
      <c r="D17" s="108">
        <v>511</v>
      </c>
      <c r="E17" s="108">
        <v>669</v>
      </c>
      <c r="F17" s="108">
        <v>733</v>
      </c>
      <c r="G17" s="106"/>
    </row>
    <row r="18" spans="2:9" x14ac:dyDescent="0.3">
      <c r="B18" s="106" t="s">
        <v>39</v>
      </c>
      <c r="C18" s="108">
        <v>-80</v>
      </c>
      <c r="D18" s="108">
        <v>-111</v>
      </c>
      <c r="E18" s="108">
        <v>-254</v>
      </c>
      <c r="F18" s="108">
        <v>-293</v>
      </c>
      <c r="G18" s="106"/>
    </row>
    <row r="19" spans="2:9" x14ac:dyDescent="0.3">
      <c r="B19" s="106" t="s">
        <v>27</v>
      </c>
      <c r="C19" s="108">
        <v>-38</v>
      </c>
      <c r="D19" s="108">
        <v>-131</v>
      </c>
      <c r="E19" s="108">
        <v>-109</v>
      </c>
      <c r="F19" s="108">
        <v>-58</v>
      </c>
      <c r="G19" s="106"/>
    </row>
    <row r="20" spans="2:9" x14ac:dyDescent="0.3">
      <c r="B20" s="106" t="s">
        <v>37</v>
      </c>
      <c r="C20" s="108">
        <v>-10</v>
      </c>
      <c r="D20" s="108">
        <v>-18</v>
      </c>
      <c r="E20" s="108">
        <v>-29</v>
      </c>
      <c r="F20" s="108">
        <v>18</v>
      </c>
      <c r="G20" s="106"/>
    </row>
    <row r="21" spans="2:9" x14ac:dyDescent="0.3">
      <c r="B21" s="104" t="s">
        <v>36</v>
      </c>
      <c r="C21" s="108">
        <v>-88</v>
      </c>
      <c r="D21" s="108">
        <v>-73</v>
      </c>
      <c r="E21" s="108">
        <v>-100</v>
      </c>
      <c r="F21" s="108">
        <v>-106</v>
      </c>
      <c r="G21" s="106"/>
      <c r="I21" s="56" t="s">
        <v>46</v>
      </c>
    </row>
    <row r="22" spans="2:9" x14ac:dyDescent="0.3">
      <c r="B22" s="106"/>
      <c r="C22" s="106"/>
      <c r="D22" s="106"/>
      <c r="E22" s="106"/>
      <c r="F22" s="106"/>
      <c r="G22" s="106"/>
    </row>
    <row r="23" spans="2:9" x14ac:dyDescent="0.3">
      <c r="B23" s="106"/>
      <c r="C23" s="106"/>
      <c r="D23" s="106"/>
      <c r="E23" s="106"/>
      <c r="F23" s="106"/>
      <c r="G23" s="106"/>
    </row>
    <row r="24" spans="2:9" x14ac:dyDescent="0.3">
      <c r="B24" s="105" t="s">
        <v>33</v>
      </c>
      <c r="C24" s="105"/>
      <c r="D24" s="105"/>
      <c r="E24" s="105"/>
      <c r="F24" s="105"/>
      <c r="G24" s="105"/>
    </row>
    <row r="25" spans="2:9" x14ac:dyDescent="0.3">
      <c r="B25" s="110" t="s">
        <v>100</v>
      </c>
      <c r="C25" s="111" t="s">
        <v>83</v>
      </c>
      <c r="D25" s="111" t="s">
        <v>84</v>
      </c>
      <c r="E25" s="111" t="s">
        <v>85</v>
      </c>
      <c r="F25" s="111" t="s">
        <v>86</v>
      </c>
      <c r="G25" s="111"/>
    </row>
    <row r="26" spans="2:9" x14ac:dyDescent="0.3">
      <c r="B26" s="110" t="s">
        <v>34</v>
      </c>
      <c r="C26" s="112">
        <f>D7/D6</f>
        <v>9.9818511796733213E-3</v>
      </c>
      <c r="D26" s="112">
        <f>E7/E6</f>
        <v>0.15980113636363635</v>
      </c>
      <c r="E26" s="112">
        <f>F7/F6</f>
        <v>0.19837816455696203</v>
      </c>
      <c r="F26" s="112">
        <f>G7/G6</f>
        <v>0.19978594363182306</v>
      </c>
      <c r="G26" s="113"/>
    </row>
    <row r="27" spans="2:9" x14ac:dyDescent="0.3">
      <c r="B27" s="110" t="s">
        <v>66</v>
      </c>
      <c r="C27" s="112">
        <f>D8/D6</f>
        <v>0.11297640653357532</v>
      </c>
      <c r="D27" s="112">
        <f t="shared" ref="D27:F27" si="0">E8/E6</f>
        <v>5.3977272727272728E-2</v>
      </c>
      <c r="E27" s="112">
        <f t="shared" si="0"/>
        <v>5.5181962025316458E-2</v>
      </c>
      <c r="F27" s="112">
        <f t="shared" si="0"/>
        <v>6.0827684623617553E-2</v>
      </c>
      <c r="G27" s="113"/>
    </row>
    <row r="28" spans="2:9" x14ac:dyDescent="0.3">
      <c r="B28" s="110" t="s">
        <v>58</v>
      </c>
      <c r="C28" s="112">
        <f>-C18/D6</f>
        <v>3.6297640653357534E-2</v>
      </c>
      <c r="D28" s="112">
        <f>-D18/E6</f>
        <v>2.6278409090909092E-2</v>
      </c>
      <c r="E28" s="112">
        <f>-E18/F6</f>
        <v>5.0237341772151896E-2</v>
      </c>
      <c r="F28" s="112">
        <f>-F18/G6</f>
        <v>5.2265429896539421E-2</v>
      </c>
      <c r="G28" s="113"/>
    </row>
    <row r="29" spans="2:9" x14ac:dyDescent="0.3">
      <c r="B29" s="110" t="s">
        <v>59</v>
      </c>
      <c r="C29" s="112">
        <f>C19/D6</f>
        <v>-1.7241379310344827E-2</v>
      </c>
      <c r="D29" s="112">
        <f>D19/E6</f>
        <v>-3.1013257575757576E-2</v>
      </c>
      <c r="E29" s="112">
        <f>E19/F6</f>
        <v>-2.1558544303797469E-2</v>
      </c>
      <c r="F29" s="112">
        <f>F19/G6</f>
        <v>-1.0346057795219408E-2</v>
      </c>
      <c r="G29" s="113"/>
    </row>
    <row r="30" spans="2:9" x14ac:dyDescent="0.3">
      <c r="B30" s="110" t="s">
        <v>60</v>
      </c>
      <c r="C30" s="112">
        <f>C20/D6</f>
        <v>-4.5372050816696917E-3</v>
      </c>
      <c r="D30" s="112">
        <f>D20/E6</f>
        <v>-4.261363636363636E-3</v>
      </c>
      <c r="E30" s="112">
        <f>E20/F6</f>
        <v>-5.7357594936708863E-3</v>
      </c>
      <c r="F30" s="112">
        <f>F20/G6</f>
        <v>3.2108455226542991E-3</v>
      </c>
      <c r="G30" s="113"/>
    </row>
    <row r="31" spans="2:9" x14ac:dyDescent="0.3">
      <c r="B31" s="110" t="s">
        <v>78</v>
      </c>
      <c r="C31" s="112">
        <f>D6/C6-1</f>
        <v>0.35965453423812455</v>
      </c>
      <c r="D31" s="112">
        <f>E6/D6-1</f>
        <v>0.91651542649727769</v>
      </c>
      <c r="E31" s="112">
        <f>F6/E6-1</f>
        <v>0.19696969696969702</v>
      </c>
      <c r="F31" s="112">
        <f>G6/F6-1</f>
        <v>0.10878164556962022</v>
      </c>
      <c r="G31" s="113"/>
    </row>
    <row r="32" spans="2:9" x14ac:dyDescent="0.3">
      <c r="B32" s="110" t="s">
        <v>79</v>
      </c>
      <c r="C32" s="112">
        <f xml:space="preserve"> (G6/D6)^(1/4) -1</f>
        <v>0.26287502853746814</v>
      </c>
      <c r="D32" s="112"/>
      <c r="E32" s="112"/>
      <c r="F32" s="112"/>
      <c r="G32" s="113"/>
    </row>
    <row r="33" spans="2:14" x14ac:dyDescent="0.3">
      <c r="B33" s="110"/>
      <c r="C33" s="110"/>
      <c r="D33" s="110"/>
      <c r="E33" s="110"/>
      <c r="F33" s="110"/>
    </row>
    <row r="34" spans="2:14" x14ac:dyDescent="0.3">
      <c r="B34" s="105" t="s">
        <v>40</v>
      </c>
      <c r="C34" s="105"/>
      <c r="D34" s="105"/>
      <c r="E34" s="105"/>
      <c r="F34" s="105"/>
      <c r="G34" s="105"/>
    </row>
    <row r="35" spans="2:14" x14ac:dyDescent="0.3">
      <c r="B35" s="56" t="s">
        <v>67</v>
      </c>
      <c r="C35" s="56" t="s">
        <v>167</v>
      </c>
    </row>
    <row r="36" spans="2:14" x14ac:dyDescent="0.3">
      <c r="C36" s="56" t="s">
        <v>168</v>
      </c>
    </row>
    <row r="37" spans="2:14" x14ac:dyDescent="0.3">
      <c r="B37" s="56" t="s">
        <v>66</v>
      </c>
      <c r="C37" s="56" t="s">
        <v>71</v>
      </c>
    </row>
    <row r="38" spans="2:14" x14ac:dyDescent="0.3">
      <c r="B38" s="56" t="s">
        <v>68</v>
      </c>
      <c r="C38" s="56" t="s">
        <v>42</v>
      </c>
    </row>
    <row r="39" spans="2:14" x14ac:dyDescent="0.3">
      <c r="B39" s="56" t="s">
        <v>4</v>
      </c>
      <c r="C39" s="56" t="s">
        <v>41</v>
      </c>
    </row>
    <row r="40" spans="2:14" x14ac:dyDescent="0.3">
      <c r="B40" s="56" t="s">
        <v>69</v>
      </c>
      <c r="C40" s="56" t="s">
        <v>70</v>
      </c>
    </row>
    <row r="41" spans="2:14" x14ac:dyDescent="0.3">
      <c r="C41" s="56" t="s">
        <v>43</v>
      </c>
    </row>
    <row r="43" spans="2:14" x14ac:dyDescent="0.3">
      <c r="B43" s="105" t="s">
        <v>45</v>
      </c>
      <c r="C43" s="105"/>
      <c r="D43" s="105"/>
      <c r="E43" s="105"/>
      <c r="F43" s="105"/>
      <c r="G43" s="105"/>
      <c r="H43" s="105"/>
      <c r="I43" s="105"/>
      <c r="J43" s="105"/>
      <c r="K43" s="105"/>
      <c r="L43" s="105"/>
      <c r="M43" s="105"/>
    </row>
    <row r="44" spans="2:14" x14ac:dyDescent="0.3">
      <c r="B44" s="114" t="s">
        <v>48</v>
      </c>
      <c r="C44" s="114"/>
      <c r="D44" s="114"/>
      <c r="E44" s="114"/>
      <c r="F44" s="114"/>
      <c r="G44" s="114"/>
      <c r="H44" s="114"/>
      <c r="I44" s="114"/>
      <c r="J44" s="114"/>
      <c r="K44" s="114"/>
      <c r="L44" s="114"/>
      <c r="M44" s="114"/>
    </row>
    <row r="45" spans="2:14" x14ac:dyDescent="0.3">
      <c r="B45" s="115" t="s">
        <v>47</v>
      </c>
      <c r="C45" s="115"/>
      <c r="D45" s="115"/>
      <c r="E45" s="115"/>
      <c r="F45" s="115"/>
      <c r="G45" s="115"/>
      <c r="H45" s="115"/>
      <c r="I45" s="115"/>
      <c r="J45" s="115"/>
      <c r="K45" s="115"/>
      <c r="L45" s="115"/>
      <c r="M45" s="115"/>
    </row>
    <row r="46" spans="2:14" x14ac:dyDescent="0.3">
      <c r="B46" s="115" t="s">
        <v>50</v>
      </c>
      <c r="C46" s="115"/>
      <c r="D46" s="115"/>
      <c r="E46" s="115"/>
      <c r="F46" s="115"/>
      <c r="G46" s="115"/>
      <c r="H46" s="115"/>
      <c r="I46" s="115"/>
      <c r="J46" s="115"/>
      <c r="K46" s="115"/>
      <c r="L46" s="115"/>
      <c r="M46" s="115"/>
      <c r="N46" s="56" t="s">
        <v>55</v>
      </c>
    </row>
    <row r="47" spans="2:14" x14ac:dyDescent="0.3">
      <c r="B47" s="115" t="s">
        <v>49</v>
      </c>
      <c r="C47" s="115"/>
      <c r="D47" s="115"/>
      <c r="E47" s="115"/>
      <c r="F47" s="115"/>
      <c r="G47" s="115"/>
      <c r="H47" s="115"/>
      <c r="I47" s="115"/>
      <c r="J47" s="115"/>
      <c r="K47" s="115"/>
      <c r="L47" s="115"/>
      <c r="M47" s="115"/>
    </row>
    <row r="48" spans="2:14" x14ac:dyDescent="0.3">
      <c r="B48" s="115" t="s">
        <v>56</v>
      </c>
      <c r="C48" s="115"/>
      <c r="D48" s="115"/>
      <c r="E48" s="115"/>
      <c r="F48" s="115"/>
      <c r="G48" s="115"/>
      <c r="H48" s="115"/>
      <c r="I48" s="115"/>
      <c r="J48" s="115"/>
      <c r="K48" s="115"/>
      <c r="L48" s="115"/>
      <c r="M48" s="115"/>
    </row>
    <row r="49" spans="2:13" x14ac:dyDescent="0.3">
      <c r="B49" s="115" t="s">
        <v>191</v>
      </c>
      <c r="C49" s="115"/>
      <c r="D49" s="115"/>
      <c r="E49" s="115"/>
      <c r="F49" s="115"/>
      <c r="G49" s="115"/>
      <c r="H49" s="115"/>
      <c r="I49" s="115"/>
      <c r="J49" s="115"/>
      <c r="K49" s="115"/>
      <c r="L49" s="115"/>
      <c r="M49" s="115"/>
    </row>
    <row r="50" spans="2:13" x14ac:dyDescent="0.3">
      <c r="B50" s="114" t="s">
        <v>57</v>
      </c>
      <c r="C50" s="114"/>
      <c r="D50" s="114"/>
      <c r="E50" s="114"/>
      <c r="F50" s="114"/>
      <c r="G50" s="114"/>
      <c r="H50" s="114"/>
      <c r="I50" s="114"/>
      <c r="J50" s="114"/>
      <c r="K50" s="114"/>
      <c r="L50" s="114"/>
      <c r="M50" s="114"/>
    </row>
    <row r="51" spans="2:13" x14ac:dyDescent="0.3">
      <c r="B51" s="115" t="s">
        <v>51</v>
      </c>
      <c r="C51" s="115"/>
      <c r="D51" s="115"/>
      <c r="E51" s="115"/>
      <c r="F51" s="115"/>
      <c r="G51" s="115"/>
      <c r="H51" s="115"/>
      <c r="I51" s="115"/>
      <c r="J51" s="115"/>
      <c r="K51" s="115"/>
      <c r="L51" s="115"/>
      <c r="M51" s="115"/>
    </row>
    <row r="52" spans="2:13" x14ac:dyDescent="0.3">
      <c r="B52" s="116" t="s">
        <v>53</v>
      </c>
      <c r="C52" s="116"/>
      <c r="D52" s="116"/>
      <c r="E52" s="116"/>
      <c r="F52" s="116"/>
      <c r="G52" s="116"/>
      <c r="H52" s="116"/>
      <c r="I52" s="116"/>
      <c r="J52" s="116"/>
      <c r="K52" s="116"/>
      <c r="L52" s="116"/>
      <c r="M52" s="116"/>
    </row>
    <row r="53" spans="2:13" x14ac:dyDescent="0.3">
      <c r="B53" s="115" t="s">
        <v>52</v>
      </c>
      <c r="C53" s="115"/>
      <c r="D53" s="115"/>
      <c r="E53" s="115"/>
      <c r="F53" s="115"/>
      <c r="G53" s="115"/>
      <c r="H53" s="115"/>
      <c r="I53" s="115"/>
      <c r="J53" s="115"/>
      <c r="K53" s="115"/>
      <c r="L53" s="115"/>
      <c r="M53" s="115"/>
    </row>
    <row r="54" spans="2:13" x14ac:dyDescent="0.3">
      <c r="B54" s="115" t="s">
        <v>54</v>
      </c>
      <c r="C54" s="115"/>
      <c r="D54" s="115"/>
      <c r="E54" s="115"/>
      <c r="F54" s="115"/>
      <c r="G54" s="115"/>
      <c r="H54" s="115"/>
      <c r="I54" s="115"/>
      <c r="J54" s="115"/>
      <c r="K54" s="115"/>
      <c r="L54" s="115"/>
      <c r="M54" s="115"/>
    </row>
    <row r="55" spans="2:13" x14ac:dyDescent="0.3">
      <c r="B55" s="114" t="s">
        <v>65</v>
      </c>
      <c r="C55" s="114"/>
      <c r="D55" s="114"/>
      <c r="E55" s="114"/>
      <c r="F55" s="114"/>
      <c r="G55" s="114"/>
      <c r="H55" s="114"/>
      <c r="I55" s="114"/>
      <c r="J55" s="114"/>
      <c r="K55" s="114"/>
      <c r="L55" s="114"/>
      <c r="M55" s="114"/>
    </row>
    <row r="56" spans="2:13" x14ac:dyDescent="0.3">
      <c r="B56" s="115" t="s">
        <v>61</v>
      </c>
      <c r="C56" s="115"/>
      <c r="D56" s="115"/>
      <c r="E56" s="115"/>
      <c r="F56" s="115"/>
      <c r="G56" s="115"/>
      <c r="H56" s="115"/>
      <c r="I56" s="115"/>
      <c r="J56" s="115"/>
      <c r="K56" s="115"/>
      <c r="L56" s="115"/>
      <c r="M56" s="115"/>
    </row>
    <row r="57" spans="2:13" x14ac:dyDescent="0.3">
      <c r="B57" s="56" t="s">
        <v>62</v>
      </c>
    </row>
    <row r="58" spans="2:13" x14ac:dyDescent="0.3">
      <c r="B58" s="56" t="s">
        <v>63</v>
      </c>
    </row>
    <row r="59" spans="2:13" x14ac:dyDescent="0.3">
      <c r="B59" s="56" t="s">
        <v>64</v>
      </c>
    </row>
    <row r="60" spans="2:13" x14ac:dyDescent="0.3">
      <c r="B60" s="117" t="s">
        <v>72</v>
      </c>
    </row>
    <row r="61" spans="2:13" x14ac:dyDescent="0.3">
      <c r="B61" s="56" t="s">
        <v>73</v>
      </c>
    </row>
    <row r="62" spans="2:13" x14ac:dyDescent="0.3">
      <c r="B62" s="56" t="s">
        <v>74</v>
      </c>
    </row>
    <row r="63" spans="2:13" x14ac:dyDescent="0.3">
      <c r="B63" s="56" t="s">
        <v>75</v>
      </c>
    </row>
    <row r="64" spans="2:13" x14ac:dyDescent="0.3">
      <c r="B64" s="117" t="s">
        <v>92</v>
      </c>
    </row>
    <row r="65" spans="2:11" x14ac:dyDescent="0.3">
      <c r="B65" s="56" t="s">
        <v>76</v>
      </c>
    </row>
    <row r="66" spans="2:11" x14ac:dyDescent="0.3">
      <c r="B66" s="56" t="s">
        <v>77</v>
      </c>
    </row>
    <row r="67" spans="2:11" x14ac:dyDescent="0.3">
      <c r="B67" s="56" t="s">
        <v>93</v>
      </c>
    </row>
    <row r="69" spans="2:11" x14ac:dyDescent="0.3">
      <c r="B69" s="110" t="s">
        <v>97</v>
      </c>
      <c r="C69" s="111" t="s">
        <v>83</v>
      </c>
      <c r="D69" s="111" t="s">
        <v>84</v>
      </c>
      <c r="E69" s="111" t="s">
        <v>85</v>
      </c>
      <c r="F69" s="111" t="s">
        <v>86</v>
      </c>
      <c r="G69" s="111" t="s">
        <v>87</v>
      </c>
      <c r="H69" s="111" t="s">
        <v>88</v>
      </c>
      <c r="I69" s="111" t="s">
        <v>89</v>
      </c>
      <c r="J69" s="111" t="s">
        <v>90</v>
      </c>
      <c r="K69" s="111" t="s">
        <v>91</v>
      </c>
    </row>
    <row r="70" spans="2:11" x14ac:dyDescent="0.3">
      <c r="B70" s="110" t="s">
        <v>78</v>
      </c>
      <c r="C70" s="118">
        <v>0.35965453423812455</v>
      </c>
      <c r="D70" s="118">
        <v>0.91651542649727769</v>
      </c>
      <c r="E70" s="118">
        <v>0.19696969696969702</v>
      </c>
      <c r="F70" s="118">
        <v>0.10878164556962022</v>
      </c>
      <c r="G70" s="118">
        <v>4.2000000000000003E-2</v>
      </c>
      <c r="H70" s="118">
        <v>3.5000000000000003E-2</v>
      </c>
      <c r="I70" s="118">
        <v>2.3E-2</v>
      </c>
      <c r="J70" s="118">
        <v>1.7999999999999999E-2</v>
      </c>
      <c r="K70" s="118">
        <v>1.4999999999999999E-2</v>
      </c>
    </row>
    <row r="71" spans="2:11" x14ac:dyDescent="0.3">
      <c r="B71" s="110" t="s">
        <v>34</v>
      </c>
      <c r="C71" s="118">
        <v>9.9818511796733213E-3</v>
      </c>
      <c r="D71" s="118">
        <v>0.15980113636363635</v>
      </c>
      <c r="E71" s="118">
        <v>0.19837816455696203</v>
      </c>
      <c r="F71" s="118">
        <v>0.19978594363182306</v>
      </c>
      <c r="G71" s="118">
        <v>0.2</v>
      </c>
      <c r="H71" s="118">
        <v>0.2</v>
      </c>
      <c r="I71" s="118">
        <v>0.2</v>
      </c>
      <c r="J71" s="118">
        <v>0.2</v>
      </c>
      <c r="K71" s="118">
        <v>0.2</v>
      </c>
    </row>
    <row r="72" spans="2:11" x14ac:dyDescent="0.3">
      <c r="B72" s="110" t="s">
        <v>66</v>
      </c>
      <c r="C72" s="118">
        <v>0.11297640653357532</v>
      </c>
      <c r="D72" s="118">
        <v>5.3977272727272728E-2</v>
      </c>
      <c r="E72" s="118">
        <v>5.5181962025316458E-2</v>
      </c>
      <c r="F72" s="118">
        <v>6.0827684623617553E-2</v>
      </c>
      <c r="G72" s="118">
        <v>5.7999999999999996E-2</v>
      </c>
      <c r="H72" s="118">
        <v>5.7999999999999996E-2</v>
      </c>
      <c r="I72" s="118">
        <v>5.7999999999999996E-2</v>
      </c>
      <c r="J72" s="118">
        <v>5.7999999999999996E-2</v>
      </c>
      <c r="K72" s="118">
        <v>5.7999999999999996E-2</v>
      </c>
    </row>
    <row r="73" spans="2:11" x14ac:dyDescent="0.3">
      <c r="B73" s="110" t="s">
        <v>58</v>
      </c>
      <c r="C73" s="118">
        <v>3.6297640653357534E-2</v>
      </c>
      <c r="D73" s="118">
        <v>2.6278409090909092E-2</v>
      </c>
      <c r="E73" s="118">
        <v>5.0237341772151896E-2</v>
      </c>
      <c r="F73" s="118">
        <v>5.2265429896539421E-2</v>
      </c>
      <c r="G73" s="118">
        <v>5.0999999999999997E-2</v>
      </c>
      <c r="H73" s="118">
        <v>5.0999999999999997E-2</v>
      </c>
      <c r="I73" s="118">
        <v>5.0999999999999997E-2</v>
      </c>
      <c r="J73" s="118">
        <v>5.0999999999999997E-2</v>
      </c>
      <c r="K73" s="118">
        <v>5.0999999999999997E-2</v>
      </c>
    </row>
    <row r="74" spans="2:11" x14ac:dyDescent="0.3">
      <c r="B74" s="110" t="s">
        <v>60</v>
      </c>
      <c r="C74" s="118">
        <v>-4.5372050816696917E-3</v>
      </c>
      <c r="D74" s="118">
        <v>-4.261363636363636E-3</v>
      </c>
      <c r="E74" s="118">
        <v>-5.7357594936708863E-3</v>
      </c>
      <c r="F74" s="118">
        <v>3.2108455226542991E-3</v>
      </c>
      <c r="G74" s="118">
        <v>5.0000000000000001E-4</v>
      </c>
      <c r="H74" s="118">
        <v>5.0000000000000001E-4</v>
      </c>
      <c r="I74" s="118">
        <v>5.0000000000000001E-4</v>
      </c>
      <c r="J74" s="118">
        <v>5.0000000000000001E-4</v>
      </c>
      <c r="K74" s="118">
        <v>5.0000000000000001E-4</v>
      </c>
    </row>
    <row r="75" spans="2:11" x14ac:dyDescent="0.3">
      <c r="B75" s="110" t="s">
        <v>94</v>
      </c>
      <c r="C75" s="119">
        <v>0.25</v>
      </c>
      <c r="D75" s="119">
        <v>0.25</v>
      </c>
      <c r="E75" s="119">
        <v>0.25</v>
      </c>
      <c r="F75" s="119">
        <v>0.25</v>
      </c>
      <c r="G75" s="119">
        <v>0.25</v>
      </c>
      <c r="H75" s="119">
        <v>0.25</v>
      </c>
      <c r="I75" s="119">
        <v>0.25</v>
      </c>
      <c r="J75" s="119">
        <v>0.25</v>
      </c>
      <c r="K75" s="119">
        <v>0.25</v>
      </c>
    </row>
    <row r="78" spans="2:11" x14ac:dyDescent="0.3">
      <c r="B78" s="105" t="s">
        <v>0</v>
      </c>
      <c r="C78" s="105"/>
      <c r="D78" s="105"/>
      <c r="E78" s="105"/>
      <c r="F78" s="105"/>
      <c r="G78" s="105"/>
      <c r="H78" s="105"/>
      <c r="I78" s="105"/>
      <c r="J78" s="105"/>
      <c r="K78" s="105"/>
    </row>
    <row r="79" spans="2:11" x14ac:dyDescent="0.3">
      <c r="B79" s="110" t="s">
        <v>98</v>
      </c>
      <c r="C79" s="111" t="s">
        <v>83</v>
      </c>
      <c r="D79" s="111" t="s">
        <v>84</v>
      </c>
      <c r="E79" s="111" t="s">
        <v>85</v>
      </c>
      <c r="F79" s="111" t="s">
        <v>86</v>
      </c>
      <c r="G79" s="111" t="s">
        <v>87</v>
      </c>
      <c r="H79" s="111" t="s">
        <v>88</v>
      </c>
      <c r="I79" s="111" t="s">
        <v>89</v>
      </c>
      <c r="J79" s="111" t="s">
        <v>90</v>
      </c>
      <c r="K79" s="111" t="s">
        <v>91</v>
      </c>
    </row>
    <row r="80" spans="2:11" x14ac:dyDescent="0.3">
      <c r="B80" s="110" t="s">
        <v>67</v>
      </c>
      <c r="C80" s="120">
        <v>2204</v>
      </c>
      <c r="D80" s="120">
        <v>4224</v>
      </c>
      <c r="E80" s="120">
        <v>5056</v>
      </c>
      <c r="F80" s="120">
        <v>5606</v>
      </c>
      <c r="G80" s="120">
        <f>F80*(1+G70)</f>
        <v>5841.4520000000002</v>
      </c>
      <c r="H80" s="120">
        <f t="shared" ref="H80:K80" si="1">G80*(1+H70)</f>
        <v>6045.9028199999993</v>
      </c>
      <c r="I80" s="120">
        <f t="shared" si="1"/>
        <v>6184.9585848599991</v>
      </c>
      <c r="J80" s="120">
        <f t="shared" si="1"/>
        <v>6296.2878393874789</v>
      </c>
      <c r="K80" s="120">
        <f t="shared" si="1"/>
        <v>6390.7321569782907</v>
      </c>
    </row>
    <row r="81" spans="2:11" x14ac:dyDescent="0.3">
      <c r="B81" s="110" t="s">
        <v>80</v>
      </c>
      <c r="C81" s="120">
        <f>C71*C80</f>
        <v>22</v>
      </c>
      <c r="D81" s="120">
        <f t="shared" ref="D81:K81" si="2">D71*D80</f>
        <v>675</v>
      </c>
      <c r="E81" s="120">
        <f t="shared" si="2"/>
        <v>1003</v>
      </c>
      <c r="F81" s="120">
        <f>F71*F80</f>
        <v>1120</v>
      </c>
      <c r="G81" s="120">
        <f t="shared" si="2"/>
        <v>1168.2904000000001</v>
      </c>
      <c r="H81" s="120">
        <f t="shared" si="2"/>
        <v>1209.180564</v>
      </c>
      <c r="I81" s="120">
        <f t="shared" si="2"/>
        <v>1236.9917169719999</v>
      </c>
      <c r="J81" s="120">
        <f t="shared" si="2"/>
        <v>1259.2575678774958</v>
      </c>
      <c r="K81" s="120">
        <f t="shared" si="2"/>
        <v>1278.1464313956583</v>
      </c>
    </row>
    <row r="82" spans="2:11" x14ac:dyDescent="0.3">
      <c r="B82" s="110" t="s">
        <v>81</v>
      </c>
      <c r="C82" s="120">
        <f>C72*C80</f>
        <v>249.00000000000003</v>
      </c>
      <c r="D82" s="120">
        <f t="shared" ref="D82:K82" si="3">D72*D80</f>
        <v>228</v>
      </c>
      <c r="E82" s="120">
        <f t="shared" si="3"/>
        <v>279</v>
      </c>
      <c r="F82" s="120">
        <f t="shared" si="3"/>
        <v>341</v>
      </c>
      <c r="G82" s="120">
        <f t="shared" si="3"/>
        <v>338.804216</v>
      </c>
      <c r="H82" s="120">
        <f t="shared" si="3"/>
        <v>350.66236355999996</v>
      </c>
      <c r="I82" s="120">
        <f t="shared" si="3"/>
        <v>358.72759792187992</v>
      </c>
      <c r="J82" s="120">
        <f t="shared" si="3"/>
        <v>365.18469468447375</v>
      </c>
      <c r="K82" s="120">
        <f t="shared" si="3"/>
        <v>370.66246510474082</v>
      </c>
    </row>
    <row r="83" spans="2:11" x14ac:dyDescent="0.3">
      <c r="B83" s="110" t="s">
        <v>4</v>
      </c>
      <c r="C83" s="120">
        <f>C73*C80</f>
        <v>80</v>
      </c>
      <c r="D83" s="120">
        <f t="shared" ref="D83:J83" si="4">D73*D80</f>
        <v>111</v>
      </c>
      <c r="E83" s="120">
        <f t="shared" si="4"/>
        <v>253.99999999999997</v>
      </c>
      <c r="F83" s="120">
        <f t="shared" si="4"/>
        <v>293</v>
      </c>
      <c r="G83" s="120">
        <f t="shared" si="4"/>
        <v>297.91405199999997</v>
      </c>
      <c r="H83" s="120">
        <f t="shared" si="4"/>
        <v>308.34104381999992</v>
      </c>
      <c r="I83" s="120">
        <f t="shared" si="4"/>
        <v>315.43288782785993</v>
      </c>
      <c r="J83" s="120">
        <f t="shared" si="4"/>
        <v>321.1106798087614</v>
      </c>
      <c r="K83" s="120">
        <f>K73*K80</f>
        <v>325.9273400058928</v>
      </c>
    </row>
    <row r="84" spans="2:11" x14ac:dyDescent="0.3">
      <c r="B84" s="110" t="s">
        <v>35</v>
      </c>
      <c r="C84" s="120">
        <f>C74*C80</f>
        <v>-10</v>
      </c>
      <c r="D84" s="120">
        <f>D74*D80</f>
        <v>-18</v>
      </c>
      <c r="E84" s="120">
        <f t="shared" ref="D84:K84" si="5">E74*E80</f>
        <v>-29</v>
      </c>
      <c r="F84" s="120">
        <f t="shared" si="5"/>
        <v>18</v>
      </c>
      <c r="G84" s="120">
        <f t="shared" si="5"/>
        <v>2.9207260000000002</v>
      </c>
      <c r="H84" s="120">
        <f t="shared" si="5"/>
        <v>3.0229514099999997</v>
      </c>
      <c r="I84" s="120">
        <f>I74*I80</f>
        <v>3.0924792924299997</v>
      </c>
      <c r="J84" s="120">
        <f t="shared" si="5"/>
        <v>3.1481439196937395</v>
      </c>
      <c r="K84" s="120">
        <f t="shared" si="5"/>
        <v>3.1953660784891453</v>
      </c>
    </row>
    <row r="85" spans="2:11" x14ac:dyDescent="0.3">
      <c r="B85" s="110" t="s">
        <v>95</v>
      </c>
      <c r="C85" s="121">
        <f>C81-C82</f>
        <v>-227.00000000000003</v>
      </c>
      <c r="D85" s="121">
        <f>D81-D82</f>
        <v>447</v>
      </c>
      <c r="E85" s="121">
        <f>E81-E82</f>
        <v>724</v>
      </c>
      <c r="F85" s="121">
        <f>F81-F82</f>
        <v>779</v>
      </c>
      <c r="G85" s="121">
        <f t="shared" ref="D85:K85" si="6">G81-G82</f>
        <v>829.48618400000009</v>
      </c>
      <c r="H85" s="121">
        <f t="shared" si="6"/>
        <v>858.5182004400001</v>
      </c>
      <c r="I85" s="121">
        <f t="shared" si="6"/>
        <v>878.26411905012003</v>
      </c>
      <c r="J85" s="121">
        <f t="shared" si="6"/>
        <v>894.07287319302213</v>
      </c>
      <c r="K85" s="121">
        <f t="shared" si="6"/>
        <v>907.48396629091746</v>
      </c>
    </row>
    <row r="86" spans="2:11" x14ac:dyDescent="0.3">
      <c r="B86" s="110" t="s">
        <v>96</v>
      </c>
      <c r="C86" s="121">
        <f>C85*(1-C75) +C82-C83-C84</f>
        <v>8.75</v>
      </c>
      <c r="D86" s="121">
        <f t="shared" ref="D86:K86" si="7">D85*(1-D75) +D82-D83-D84</f>
        <v>470.25</v>
      </c>
      <c r="E86" s="121">
        <f t="shared" si="7"/>
        <v>597</v>
      </c>
      <c r="F86" s="121">
        <f t="shared" si="7"/>
        <v>614.25</v>
      </c>
      <c r="G86" s="121">
        <f t="shared" si="7"/>
        <v>660.0840760000001</v>
      </c>
      <c r="H86" s="121">
        <f t="shared" si="7"/>
        <v>683.18701866000004</v>
      </c>
      <c r="I86" s="121">
        <f t="shared" si="7"/>
        <v>698.90032008918001</v>
      </c>
      <c r="J86" s="121">
        <f t="shared" si="7"/>
        <v>711.48052585078506</v>
      </c>
      <c r="K86" s="121">
        <f t="shared" si="7"/>
        <v>722.152733738547</v>
      </c>
    </row>
    <row r="88" spans="2:11" x14ac:dyDescent="0.3">
      <c r="B88" s="122" t="s">
        <v>102</v>
      </c>
      <c r="C88" s="78"/>
      <c r="D88" s="78"/>
      <c r="E88" s="78"/>
      <c r="F88" s="78"/>
    </row>
    <row r="89" spans="2:11" x14ac:dyDescent="0.3">
      <c r="B89" s="56" t="s">
        <v>101</v>
      </c>
    </row>
    <row r="90" spans="2:11" x14ac:dyDescent="0.3">
      <c r="B90" s="56" t="s">
        <v>103</v>
      </c>
    </row>
    <row r="91" spans="2:11" x14ac:dyDescent="0.3">
      <c r="B91" s="56" t="s">
        <v>104</v>
      </c>
    </row>
    <row r="92" spans="2:11" x14ac:dyDescent="0.3">
      <c r="B92" s="56" t="s">
        <v>105</v>
      </c>
    </row>
    <row r="93" spans="2:11" x14ac:dyDescent="0.3">
      <c r="B93" s="56" t="s">
        <v>106</v>
      </c>
    </row>
  </sheetData>
  <mergeCells count="20">
    <mergeCell ref="B15:G15"/>
    <mergeCell ref="B78:K78"/>
    <mergeCell ref="B53:M53"/>
    <mergeCell ref="B54:M54"/>
    <mergeCell ref="B55:M55"/>
    <mergeCell ref="B56:M56"/>
    <mergeCell ref="B34:G34"/>
    <mergeCell ref="B24:G24"/>
    <mergeCell ref="B47:M47"/>
    <mergeCell ref="B48:M48"/>
    <mergeCell ref="B49:M49"/>
    <mergeCell ref="B50:M50"/>
    <mergeCell ref="B51:M51"/>
    <mergeCell ref="B52:M52"/>
    <mergeCell ref="B46:M46"/>
    <mergeCell ref="B45:M45"/>
    <mergeCell ref="B44:M44"/>
    <mergeCell ref="B43:M43"/>
    <mergeCell ref="B4:G4"/>
    <mergeCell ref="B2:G2"/>
  </mergeCells>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8E38-8AB4-4813-ACBC-E357D1E802F1}">
  <dimension ref="A3:H61"/>
  <sheetViews>
    <sheetView topLeftCell="A3" zoomScale="76" zoomScaleNormal="76" workbookViewId="0">
      <selection activeCell="R1" sqref="R1"/>
    </sheetView>
  </sheetViews>
  <sheetFormatPr baseColWidth="10" defaultRowHeight="14.4" x14ac:dyDescent="0.3"/>
  <cols>
    <col min="1" max="1" width="11.5546875" style="50"/>
    <col min="2" max="2" width="39.109375" style="50" bestFit="1" customWidth="1"/>
    <col min="3" max="3" width="21.6640625" style="50" bestFit="1" customWidth="1"/>
    <col min="4" max="4" width="14.21875" style="50" customWidth="1"/>
    <col min="5" max="5" width="14.77734375" style="50" customWidth="1"/>
    <col min="6" max="6" width="13.33203125" style="50" customWidth="1"/>
    <col min="7" max="7" width="14.77734375" style="50" customWidth="1"/>
    <col min="8" max="8" width="17.21875" style="50" customWidth="1"/>
    <col min="9" max="16384" width="11.5546875" style="50"/>
  </cols>
  <sheetData>
    <row r="3" spans="2:7" ht="15" thickBot="1" x14ac:dyDescent="0.35"/>
    <row r="4" spans="2:7" ht="15" thickBot="1" x14ac:dyDescent="0.35">
      <c r="B4" s="12" t="s">
        <v>115</v>
      </c>
      <c r="C4" s="13"/>
    </row>
    <row r="5" spans="2:7" x14ac:dyDescent="0.3">
      <c r="B5" s="79"/>
      <c r="C5" s="80" t="s">
        <v>110</v>
      </c>
    </row>
    <row r="6" spans="2:7" x14ac:dyDescent="0.3">
      <c r="B6" s="81" t="s">
        <v>144</v>
      </c>
      <c r="C6" s="82">
        <v>5.0099999999999999E-2</v>
      </c>
    </row>
    <row r="7" spans="2:7" x14ac:dyDescent="0.3">
      <c r="B7" s="81" t="s">
        <v>107</v>
      </c>
      <c r="C7" s="83">
        <v>0.76</v>
      </c>
    </row>
    <row r="8" spans="2:7" x14ac:dyDescent="0.3">
      <c r="B8" s="81" t="s">
        <v>113</v>
      </c>
      <c r="C8" s="82">
        <v>3.5000000000000003E-2</v>
      </c>
    </row>
    <row r="9" spans="2:7" ht="15" thickBot="1" x14ac:dyDescent="0.35">
      <c r="B9" s="84" t="s">
        <v>128</v>
      </c>
      <c r="C9" s="85">
        <f>C8+C7*C6</f>
        <v>7.3076000000000002E-2</v>
      </c>
    </row>
    <row r="10" spans="2:7" x14ac:dyDescent="0.3">
      <c r="C10" s="86"/>
    </row>
    <row r="11" spans="2:7" ht="15" thickBot="1" x14ac:dyDescent="0.35">
      <c r="C11" s="86"/>
    </row>
    <row r="12" spans="2:7" ht="15" thickBot="1" x14ac:dyDescent="0.35">
      <c r="B12" s="17" t="s">
        <v>114</v>
      </c>
      <c r="C12" s="18"/>
      <c r="D12" s="18"/>
      <c r="E12" s="18"/>
      <c r="F12" s="18"/>
      <c r="G12" s="19"/>
    </row>
    <row r="13" spans="2:7" x14ac:dyDescent="0.3">
      <c r="B13" s="79"/>
      <c r="C13" s="37">
        <v>2020</v>
      </c>
      <c r="D13" s="37">
        <v>2021</v>
      </c>
      <c r="E13" s="37">
        <v>2022</v>
      </c>
      <c r="F13" s="37">
        <v>2023</v>
      </c>
      <c r="G13" s="38">
        <v>2024</v>
      </c>
    </row>
    <row r="14" spans="2:7" x14ac:dyDescent="0.3">
      <c r="B14" s="81" t="s">
        <v>7</v>
      </c>
      <c r="C14" s="87">
        <v>3442</v>
      </c>
      <c r="D14" s="87">
        <v>3202</v>
      </c>
      <c r="E14" s="87">
        <v>2869</v>
      </c>
      <c r="F14" s="87">
        <v>2623</v>
      </c>
      <c r="G14" s="83">
        <v>3002</v>
      </c>
    </row>
    <row r="15" spans="2:7" x14ac:dyDescent="0.3">
      <c r="B15" s="81" t="s">
        <v>126</v>
      </c>
      <c r="C15" s="87"/>
      <c r="D15" s="87">
        <f>(D14+C14)/2</f>
        <v>3322</v>
      </c>
      <c r="E15" s="87">
        <f t="shared" ref="E15:G15" si="0">(E14+D14)/2</f>
        <v>3035.5</v>
      </c>
      <c r="F15" s="87">
        <f t="shared" si="0"/>
        <v>2746</v>
      </c>
      <c r="G15" s="83">
        <f t="shared" si="0"/>
        <v>2812.5</v>
      </c>
    </row>
    <row r="16" spans="2:7" x14ac:dyDescent="0.3">
      <c r="B16" s="81" t="s">
        <v>118</v>
      </c>
      <c r="C16" s="87"/>
      <c r="D16" s="20">
        <v>-83</v>
      </c>
      <c r="E16" s="20">
        <v>-85</v>
      </c>
      <c r="F16" s="20">
        <v>-94</v>
      </c>
      <c r="G16" s="22">
        <v>-97</v>
      </c>
    </row>
    <row r="17" spans="2:7" x14ac:dyDescent="0.3">
      <c r="B17" s="81" t="s">
        <v>130</v>
      </c>
      <c r="C17" s="87"/>
      <c r="D17" s="88">
        <v>0.02</v>
      </c>
      <c r="E17" s="89">
        <v>2.1000000000000001E-2</v>
      </c>
      <c r="F17" s="89">
        <v>2.9000000000000001E-2</v>
      </c>
      <c r="G17" s="82">
        <v>2.53E-2</v>
      </c>
    </row>
    <row r="18" spans="2:7" ht="15" thickBot="1" x14ac:dyDescent="0.35">
      <c r="B18" s="84" t="s">
        <v>127</v>
      </c>
      <c r="C18" s="90"/>
      <c r="D18" s="25">
        <f>-D16/D15</f>
        <v>2.4984948826008428E-2</v>
      </c>
      <c r="E18" s="25">
        <f t="shared" ref="E18:G18" si="1">-E16/E15</f>
        <v>2.8001976610113655E-2</v>
      </c>
      <c r="F18" s="25">
        <f t="shared" si="1"/>
        <v>3.4231609613983978E-2</v>
      </c>
      <c r="G18" s="26">
        <f t="shared" si="1"/>
        <v>3.4488888888888888E-2</v>
      </c>
    </row>
    <row r="19" spans="2:7" x14ac:dyDescent="0.3">
      <c r="B19" s="50" t="s">
        <v>129</v>
      </c>
    </row>
    <row r="20" spans="2:7" x14ac:dyDescent="0.3">
      <c r="B20" s="50" t="s">
        <v>131</v>
      </c>
    </row>
    <row r="21" spans="2:7" x14ac:dyDescent="0.3">
      <c r="B21" s="50" t="s">
        <v>134</v>
      </c>
    </row>
    <row r="22" spans="2:7" x14ac:dyDescent="0.3">
      <c r="B22" s="50" t="s">
        <v>133</v>
      </c>
    </row>
    <row r="23" spans="2:7" x14ac:dyDescent="0.3">
      <c r="B23" s="50" t="s">
        <v>132</v>
      </c>
    </row>
    <row r="24" spans="2:7" x14ac:dyDescent="0.3">
      <c r="B24" s="50" t="s">
        <v>135</v>
      </c>
    </row>
    <row r="25" spans="2:7" x14ac:dyDescent="0.3">
      <c r="C25" s="91"/>
    </row>
    <row r="26" spans="2:7" x14ac:dyDescent="0.3">
      <c r="B26" s="92" t="s">
        <v>114</v>
      </c>
      <c r="C26" s="93">
        <v>4.4999999999999998E-2</v>
      </c>
    </row>
    <row r="28" spans="2:7" ht="15" thickBot="1" x14ac:dyDescent="0.35"/>
    <row r="29" spans="2:7" ht="15" thickBot="1" x14ac:dyDescent="0.35">
      <c r="B29" s="12" t="s">
        <v>136</v>
      </c>
      <c r="C29" s="13"/>
    </row>
    <row r="30" spans="2:7" x14ac:dyDescent="0.3">
      <c r="B30" s="79" t="s">
        <v>157</v>
      </c>
      <c r="C30" s="24">
        <v>1758</v>
      </c>
    </row>
    <row r="31" spans="2:7" x14ac:dyDescent="0.3">
      <c r="B31" s="81" t="s">
        <v>137</v>
      </c>
      <c r="C31" s="22">
        <v>5469</v>
      </c>
    </row>
    <row r="32" spans="2:7" x14ac:dyDescent="0.3">
      <c r="B32" s="81" t="s">
        <v>139</v>
      </c>
      <c r="C32" s="22">
        <f>C30+C31</f>
        <v>7227</v>
      </c>
    </row>
    <row r="33" spans="2:8" x14ac:dyDescent="0.3">
      <c r="B33" s="81" t="s">
        <v>140</v>
      </c>
      <c r="C33" s="23">
        <f>C30/C32</f>
        <v>0.24325446243254462</v>
      </c>
    </row>
    <row r="34" spans="2:8" ht="15" thickBot="1" x14ac:dyDescent="0.35">
      <c r="B34" s="84" t="s">
        <v>141</v>
      </c>
      <c r="C34" s="94">
        <f>1-C33</f>
        <v>0.75674553756745544</v>
      </c>
    </row>
    <row r="35" spans="2:8" ht="15" thickBot="1" x14ac:dyDescent="0.35"/>
    <row r="36" spans="2:8" x14ac:dyDescent="0.3">
      <c r="B36" s="14" t="s">
        <v>143</v>
      </c>
      <c r="C36" s="16"/>
      <c r="E36" s="40" t="s">
        <v>151</v>
      </c>
      <c r="F36" s="41"/>
      <c r="G36" s="42"/>
    </row>
    <row r="37" spans="2:8" ht="15" thickBot="1" x14ac:dyDescent="0.35">
      <c r="B37" s="87" t="s">
        <v>142</v>
      </c>
      <c r="C37" s="21">
        <f>C34*C9+C26*C33*0.75</f>
        <v>6.3509775010377759E-2</v>
      </c>
      <c r="E37" s="95"/>
      <c r="F37" s="55">
        <v>1.4999999999999999E-2</v>
      </c>
      <c r="G37" s="96"/>
    </row>
    <row r="38" spans="2:8" ht="15" thickBot="1" x14ac:dyDescent="0.35"/>
    <row r="39" spans="2:8" ht="15" thickBot="1" x14ac:dyDescent="0.35">
      <c r="B39" s="17" t="s">
        <v>145</v>
      </c>
      <c r="C39" s="18"/>
      <c r="D39" s="18"/>
      <c r="E39" s="18"/>
      <c r="F39" s="18"/>
      <c r="G39" s="18"/>
      <c r="H39" s="19"/>
    </row>
    <row r="40" spans="2:8" x14ac:dyDescent="0.3">
      <c r="B40" s="27" t="s">
        <v>82</v>
      </c>
      <c r="C40" s="30" t="s">
        <v>87</v>
      </c>
      <c r="D40" s="30" t="s">
        <v>88</v>
      </c>
      <c r="E40" s="30" t="s">
        <v>89</v>
      </c>
      <c r="F40" s="30" t="s">
        <v>90</v>
      </c>
      <c r="G40" s="30" t="s">
        <v>91</v>
      </c>
      <c r="H40" s="31" t="s">
        <v>149</v>
      </c>
    </row>
    <row r="41" spans="2:8" x14ac:dyDescent="0.3">
      <c r="B41" s="28" t="s">
        <v>96</v>
      </c>
      <c r="C41" s="32">
        <v>660.0840760000001</v>
      </c>
      <c r="D41" s="32">
        <v>683.18701866000004</v>
      </c>
      <c r="E41" s="32">
        <v>698.90032008918001</v>
      </c>
      <c r="F41" s="32">
        <v>711.48052585078506</v>
      </c>
      <c r="G41" s="32">
        <v>722.152733738547</v>
      </c>
      <c r="H41" s="33"/>
    </row>
    <row r="42" spans="2:8" x14ac:dyDescent="0.3">
      <c r="B42" s="28" t="s">
        <v>147</v>
      </c>
      <c r="C42" s="32"/>
      <c r="D42" s="32"/>
      <c r="E42" s="32"/>
      <c r="F42" s="32"/>
      <c r="G42" s="32"/>
      <c r="H42" s="33">
        <f>(G41*(1+F37))/(C37-F37)</f>
        <v>15110.047914834004</v>
      </c>
    </row>
    <row r="43" spans="2:8" x14ac:dyDescent="0.3">
      <c r="B43" s="28" t="s">
        <v>146</v>
      </c>
      <c r="C43" s="32">
        <f>C41/((1+C37)^1)</f>
        <v>620.66573482463673</v>
      </c>
      <c r="D43" s="32">
        <f>D41/((1+C37)^2)</f>
        <v>604.02739179076241</v>
      </c>
      <c r="E43" s="32">
        <f>E41/((1+C37)^3)</f>
        <v>581.01959786492819</v>
      </c>
      <c r="F43" s="32">
        <f>F41/((1+C37)^4)</f>
        <v>556.15657187610259</v>
      </c>
      <c r="G43" s="32">
        <f>G41/((1+C37)^5)</f>
        <v>530.78865255256903</v>
      </c>
      <c r="H43" s="39">
        <f>H42/((1+C37)^5)</f>
        <v>11106.018987422678</v>
      </c>
    </row>
    <row r="44" spans="2:8" ht="15" thickBot="1" x14ac:dyDescent="0.35">
      <c r="B44" s="29" t="s">
        <v>148</v>
      </c>
      <c r="C44" s="34">
        <f>SUM(C43:H43)</f>
        <v>13998.676936331678</v>
      </c>
      <c r="D44" s="35"/>
      <c r="E44" s="35"/>
      <c r="F44" s="35"/>
      <c r="G44" s="35"/>
      <c r="H44" s="36"/>
    </row>
    <row r="46" spans="2:8" ht="15" thickBot="1" x14ac:dyDescent="0.35"/>
    <row r="47" spans="2:8" ht="15" thickBot="1" x14ac:dyDescent="0.35">
      <c r="B47" s="17" t="s">
        <v>150</v>
      </c>
      <c r="C47" s="18"/>
      <c r="D47" s="18"/>
      <c r="E47" s="19"/>
    </row>
    <row r="48" spans="2:8" x14ac:dyDescent="0.3">
      <c r="B48" s="52" t="s">
        <v>158</v>
      </c>
      <c r="C48" s="15">
        <v>2495</v>
      </c>
      <c r="D48" s="51" t="s">
        <v>152</v>
      </c>
      <c r="E48" s="53"/>
    </row>
    <row r="49" spans="1:7" x14ac:dyDescent="0.3">
      <c r="B49" s="52" t="s">
        <v>150</v>
      </c>
      <c r="C49" s="15">
        <f>(C44-C48) * 1000000</f>
        <v>11503676936.331678</v>
      </c>
      <c r="D49" s="51"/>
      <c r="E49" s="53"/>
    </row>
    <row r="50" spans="1:7" x14ac:dyDescent="0.3">
      <c r="B50" s="52" t="s">
        <v>187</v>
      </c>
      <c r="C50" s="15">
        <v>243667720</v>
      </c>
      <c r="D50" s="51" t="s">
        <v>153</v>
      </c>
      <c r="E50" s="53"/>
    </row>
    <row r="51" spans="1:7" ht="15" thickBot="1" x14ac:dyDescent="0.35">
      <c r="B51" s="97" t="s">
        <v>154</v>
      </c>
      <c r="C51" s="43">
        <f>C49/C50</f>
        <v>47.210508377275737</v>
      </c>
      <c r="D51" s="98"/>
      <c r="E51" s="54"/>
    </row>
    <row r="53" spans="1:7" ht="15" thickBot="1" x14ac:dyDescent="0.35"/>
    <row r="54" spans="1:7" ht="15" thickBot="1" x14ac:dyDescent="0.35">
      <c r="A54" s="17" t="s">
        <v>155</v>
      </c>
      <c r="B54" s="18"/>
      <c r="C54" s="18"/>
      <c r="D54" s="18"/>
      <c r="E54" s="18"/>
      <c r="F54" s="18"/>
      <c r="G54" s="19"/>
    </row>
    <row r="55" spans="1:7" x14ac:dyDescent="0.3">
      <c r="A55" s="52"/>
      <c r="B55" s="44"/>
      <c r="C55" s="45" t="s">
        <v>156</v>
      </c>
      <c r="D55" s="45"/>
      <c r="E55" s="45"/>
      <c r="F55" s="45"/>
      <c r="G55" s="46"/>
    </row>
    <row r="56" spans="1:7" x14ac:dyDescent="0.3">
      <c r="A56" s="52"/>
      <c r="B56" s="99">
        <f>C51</f>
        <v>47.210508377275737</v>
      </c>
      <c r="C56" s="100">
        <v>0.01</v>
      </c>
      <c r="D56" s="100">
        <v>1.4999999999999999E-2</v>
      </c>
      <c r="E56" s="100">
        <v>0.02</v>
      </c>
      <c r="F56" s="100">
        <v>2.5000000000000001E-2</v>
      </c>
      <c r="G56" s="101">
        <v>0.03</v>
      </c>
    </row>
    <row r="57" spans="1:7" x14ac:dyDescent="0.3">
      <c r="A57" s="47" t="s">
        <v>143</v>
      </c>
      <c r="B57" s="102">
        <v>5.6500000000000002E-2</v>
      </c>
      <c r="C57" s="51">
        <f t="dataTable" ref="C57:G61" dt2D="1" dtr="1" r1="F37" r2="C37"/>
        <v>50.768915657675102</v>
      </c>
      <c r="D57" s="51">
        <v>56.932339147285163</v>
      </c>
      <c r="E57" s="51">
        <v>64.784371812130885</v>
      </c>
      <c r="F57" s="51">
        <v>75.129113259467303</v>
      </c>
      <c r="G57" s="53">
        <v>89.377530724666542</v>
      </c>
    </row>
    <row r="58" spans="1:7" x14ac:dyDescent="0.3">
      <c r="A58" s="47"/>
      <c r="B58" s="102">
        <v>0.06</v>
      </c>
      <c r="C58" s="51">
        <v>46.482875648365521</v>
      </c>
      <c r="D58" s="51">
        <v>51.699566314785393</v>
      </c>
      <c r="E58" s="51">
        <v>58.220429647810278</v>
      </c>
      <c r="F58" s="51">
        <v>66.604396790270812</v>
      </c>
      <c r="G58" s="53">
        <v>77.783019646884853</v>
      </c>
    </row>
    <row r="59" spans="1:7" x14ac:dyDescent="0.3">
      <c r="A59" s="47"/>
      <c r="B59" s="102">
        <v>6.3509999999999997E-2</v>
      </c>
      <c r="C59" s="51">
        <v>42.747841123405244</v>
      </c>
      <c r="D59" s="51">
        <v>47.210241435803063</v>
      </c>
      <c r="E59" s="51">
        <v>52.698245129583981</v>
      </c>
      <c r="F59" s="51">
        <v>59.611334176203336</v>
      </c>
      <c r="G59" s="53">
        <v>68.587416074693607</v>
      </c>
    </row>
    <row r="60" spans="1:7" x14ac:dyDescent="0.3">
      <c r="A60" s="47"/>
      <c r="B60" s="102">
        <v>6.7000000000000004E-2</v>
      </c>
      <c r="C60" s="51">
        <v>39.490311076164836</v>
      </c>
      <c r="D60" s="51">
        <v>43.347449165689405</v>
      </c>
      <c r="E60" s="51">
        <v>48.025254933836237</v>
      </c>
      <c r="F60" s="51">
        <v>53.816823980113256</v>
      </c>
      <c r="G60" s="53">
        <v>61.173681957816498</v>
      </c>
    </row>
    <row r="61" spans="1:7" ht="15" thickBot="1" x14ac:dyDescent="0.35">
      <c r="A61" s="48"/>
      <c r="B61" s="103">
        <v>7.0499999999999993E-2</v>
      </c>
      <c r="C61" s="98">
        <v>36.601028335474652</v>
      </c>
      <c r="D61" s="98">
        <v>39.961544742100898</v>
      </c>
      <c r="E61" s="98">
        <v>43.987509942118471</v>
      </c>
      <c r="F61" s="98">
        <v>48.898302658623429</v>
      </c>
      <c r="G61" s="54">
        <v>55.021636786611083</v>
      </c>
    </row>
  </sheetData>
  <mergeCells count="10">
    <mergeCell ref="A57:A61"/>
    <mergeCell ref="B47:E47"/>
    <mergeCell ref="A54:G54"/>
    <mergeCell ref="C55:G55"/>
    <mergeCell ref="B4:C4"/>
    <mergeCell ref="B29:C29"/>
    <mergeCell ref="B36:C36"/>
    <mergeCell ref="B12:G12"/>
    <mergeCell ref="B39:H39"/>
    <mergeCell ref="E36:G3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0FDCA-C050-480F-A431-B7048BA38BA7}">
  <dimension ref="A2:L33"/>
  <sheetViews>
    <sheetView topLeftCell="A14" zoomScale="80" zoomScaleNormal="80" workbookViewId="0">
      <selection activeCell="B28" sqref="B28"/>
    </sheetView>
  </sheetViews>
  <sheetFormatPr baseColWidth="10" defaultRowHeight="14.4" x14ac:dyDescent="0.3"/>
  <cols>
    <col min="1" max="1" width="11.5546875" style="56"/>
    <col min="2" max="2" width="25.77734375" style="56" bestFit="1" customWidth="1"/>
    <col min="3" max="3" width="17.44140625" style="56" bestFit="1" customWidth="1"/>
    <col min="4" max="4" width="12.5546875" style="56" customWidth="1"/>
    <col min="5" max="5" width="11.5546875" style="56"/>
    <col min="6" max="6" width="16.6640625" style="56" bestFit="1" customWidth="1"/>
    <col min="7" max="7" width="25" style="56" customWidth="1"/>
    <col min="8" max="8" width="17.109375" style="56" bestFit="1" customWidth="1"/>
    <col min="9" max="9" width="14.77734375" style="56" bestFit="1" customWidth="1"/>
    <col min="10" max="10" width="11.5546875" style="56"/>
    <col min="11" max="11" width="26.77734375" style="56" bestFit="1" customWidth="1"/>
    <col min="12" max="16384" width="11.5546875" style="56"/>
  </cols>
  <sheetData>
    <row r="2" spans="1:12" x14ac:dyDescent="0.3">
      <c r="B2" s="57" t="s">
        <v>178</v>
      </c>
    </row>
    <row r="3" spans="1:12" x14ac:dyDescent="0.3">
      <c r="A3" s="56" t="s">
        <v>82</v>
      </c>
      <c r="B3" s="56" t="s">
        <v>159</v>
      </c>
      <c r="C3" s="56" t="s">
        <v>161</v>
      </c>
      <c r="D3" s="56" t="s">
        <v>169</v>
      </c>
      <c r="E3" s="56" t="s">
        <v>166</v>
      </c>
      <c r="F3" s="56" t="s">
        <v>165</v>
      </c>
      <c r="G3" s="56" t="s">
        <v>80</v>
      </c>
      <c r="H3" s="56" t="s">
        <v>164</v>
      </c>
      <c r="I3" s="56" t="s">
        <v>171</v>
      </c>
    </row>
    <row r="4" spans="1:12" x14ac:dyDescent="0.3">
      <c r="A4" s="56">
        <v>1</v>
      </c>
      <c r="B4" s="58" t="s">
        <v>201</v>
      </c>
      <c r="C4" s="59" t="s">
        <v>200</v>
      </c>
      <c r="D4" s="135">
        <v>11760</v>
      </c>
      <c r="E4" s="124">
        <v>16920</v>
      </c>
      <c r="F4" s="135">
        <v>9.8800000000000008</v>
      </c>
      <c r="G4" s="124">
        <f>E4/F4</f>
        <v>1712.5506072874493</v>
      </c>
      <c r="H4" s="124">
        <f>E4-D4</f>
        <v>5160</v>
      </c>
      <c r="I4" s="56" t="s">
        <v>170</v>
      </c>
      <c r="K4" s="56" t="s">
        <v>172</v>
      </c>
      <c r="L4" s="62" t="s">
        <v>202</v>
      </c>
    </row>
    <row r="5" spans="1:12" x14ac:dyDescent="0.3">
      <c r="A5" s="56">
        <v>2</v>
      </c>
      <c r="B5" s="56" t="s">
        <v>203</v>
      </c>
      <c r="C5" s="58" t="s">
        <v>204</v>
      </c>
      <c r="D5" s="124">
        <v>18580</v>
      </c>
      <c r="E5" s="124">
        <v>58620</v>
      </c>
      <c r="F5" s="124">
        <v>13.28</v>
      </c>
      <c r="G5" s="124">
        <f t="shared" ref="G5:G6" si="0">E5/F5</f>
        <v>4414.1566265060246</v>
      </c>
      <c r="H5" s="124">
        <f t="shared" ref="H5:H7" si="1">E5-D5</f>
        <v>40040</v>
      </c>
      <c r="I5" s="56" t="s">
        <v>170</v>
      </c>
      <c r="K5" s="56" t="s">
        <v>206</v>
      </c>
      <c r="L5" s="11" t="s">
        <v>205</v>
      </c>
    </row>
    <row r="6" spans="1:12" x14ac:dyDescent="0.3">
      <c r="A6" s="56">
        <v>3</v>
      </c>
      <c r="B6" s="56" t="s">
        <v>160</v>
      </c>
      <c r="C6" s="56" t="s">
        <v>162</v>
      </c>
      <c r="D6" s="124">
        <v>13880</v>
      </c>
      <c r="E6" s="124">
        <v>19300</v>
      </c>
      <c r="F6" s="124">
        <v>15.5</v>
      </c>
      <c r="G6" s="124">
        <f t="shared" si="0"/>
        <v>1245.1612903225807</v>
      </c>
      <c r="H6" s="124">
        <f t="shared" si="1"/>
        <v>5420</v>
      </c>
      <c r="I6" s="56" t="s">
        <v>170</v>
      </c>
      <c r="K6" s="56" t="s">
        <v>172</v>
      </c>
      <c r="L6" s="11" t="s">
        <v>176</v>
      </c>
    </row>
    <row r="7" spans="1:12" x14ac:dyDescent="0.3">
      <c r="A7" s="56">
        <v>4</v>
      </c>
      <c r="B7" s="58" t="s">
        <v>173</v>
      </c>
      <c r="C7" s="58" t="s">
        <v>174</v>
      </c>
      <c r="D7" s="124">
        <v>5640</v>
      </c>
      <c r="E7" s="124">
        <v>10360</v>
      </c>
      <c r="F7" s="124">
        <v>10.83</v>
      </c>
      <c r="G7" s="124">
        <f>E7/F7</f>
        <v>956.60203139427517</v>
      </c>
      <c r="H7" s="124">
        <f t="shared" si="1"/>
        <v>4720</v>
      </c>
      <c r="I7" s="56" t="s">
        <v>170</v>
      </c>
      <c r="K7" s="56" t="s">
        <v>177</v>
      </c>
      <c r="L7" s="11" t="s">
        <v>175</v>
      </c>
    </row>
    <row r="8" spans="1:12" x14ac:dyDescent="0.3">
      <c r="A8" s="56">
        <v>5</v>
      </c>
      <c r="B8" s="58" t="s">
        <v>192</v>
      </c>
      <c r="C8" s="58" t="s">
        <v>193</v>
      </c>
      <c r="D8" s="124">
        <v>4390</v>
      </c>
      <c r="E8" s="124">
        <v>6880</v>
      </c>
      <c r="F8" s="124">
        <v>12.15</v>
      </c>
      <c r="G8" s="124">
        <f>E8/F8</f>
        <v>566.25514403292175</v>
      </c>
      <c r="H8" s="124">
        <f>E8-D8</f>
        <v>2490</v>
      </c>
      <c r="I8" s="56" t="s">
        <v>170</v>
      </c>
      <c r="K8" s="56" t="s">
        <v>172</v>
      </c>
      <c r="L8" s="62" t="s">
        <v>194</v>
      </c>
    </row>
    <row r="9" spans="1:12" x14ac:dyDescent="0.3">
      <c r="A9" s="56">
        <v>6</v>
      </c>
      <c r="B9" s="58" t="s">
        <v>195</v>
      </c>
      <c r="C9" s="58" t="s">
        <v>163</v>
      </c>
      <c r="D9" s="124">
        <v>6200</v>
      </c>
      <c r="E9" s="124">
        <v>8730</v>
      </c>
      <c r="F9" s="124">
        <v>13.81</v>
      </c>
      <c r="G9" s="124">
        <f>E9/F9</f>
        <v>632.15061549601739</v>
      </c>
      <c r="H9" s="124">
        <f>E9-D9</f>
        <v>2530</v>
      </c>
      <c r="I9" s="56" t="s">
        <v>170</v>
      </c>
      <c r="K9" s="56" t="s">
        <v>172</v>
      </c>
      <c r="L9" s="11" t="s">
        <v>196</v>
      </c>
    </row>
    <row r="10" spans="1:12" x14ac:dyDescent="0.3">
      <c r="A10" s="56">
        <v>7</v>
      </c>
      <c r="B10" s="58" t="s">
        <v>198</v>
      </c>
      <c r="C10" s="58" t="s">
        <v>199</v>
      </c>
      <c r="D10" s="124">
        <v>12030</v>
      </c>
      <c r="E10" s="124">
        <v>15580</v>
      </c>
      <c r="F10" s="124">
        <v>15.08</v>
      </c>
      <c r="G10" s="124">
        <f>E10/F10</f>
        <v>1033.1564986737401</v>
      </c>
      <c r="H10" s="124">
        <f>E10-D10</f>
        <v>3550</v>
      </c>
      <c r="I10" s="56" t="s">
        <v>170</v>
      </c>
      <c r="K10" s="56" t="s">
        <v>172</v>
      </c>
      <c r="L10" s="11" t="s">
        <v>197</v>
      </c>
    </row>
    <row r="11" spans="1:12" x14ac:dyDescent="0.3">
      <c r="B11" s="58"/>
      <c r="C11" s="58"/>
      <c r="H11" s="61"/>
    </row>
    <row r="13" spans="1:12" x14ac:dyDescent="0.3">
      <c r="B13" s="56" t="s">
        <v>180</v>
      </c>
      <c r="C13" s="56">
        <v>0.85</v>
      </c>
    </row>
    <row r="15" spans="1:12" x14ac:dyDescent="0.3">
      <c r="B15" s="57" t="s">
        <v>179</v>
      </c>
    </row>
    <row r="16" spans="1:12" x14ac:dyDescent="0.3">
      <c r="A16" s="56" t="s">
        <v>82</v>
      </c>
      <c r="B16" s="56" t="s">
        <v>159</v>
      </c>
      <c r="C16" s="56" t="s">
        <v>161</v>
      </c>
      <c r="D16" s="56" t="s">
        <v>169</v>
      </c>
      <c r="E16" s="56" t="s">
        <v>166</v>
      </c>
      <c r="F16" s="56" t="s">
        <v>165</v>
      </c>
      <c r="G16" s="56" t="s">
        <v>80</v>
      </c>
      <c r="H16" s="56" t="s">
        <v>164</v>
      </c>
      <c r="I16" s="56" t="s">
        <v>171</v>
      </c>
    </row>
    <row r="17" spans="1:9" x14ac:dyDescent="0.3">
      <c r="A17" s="56">
        <v>1</v>
      </c>
      <c r="B17" s="58" t="s">
        <v>201</v>
      </c>
      <c r="C17" s="59" t="s">
        <v>200</v>
      </c>
      <c r="D17" s="60">
        <f>D4*$C$13</f>
        <v>9996</v>
      </c>
      <c r="E17" s="60">
        <f>E4*$C$13</f>
        <v>14382</v>
      </c>
      <c r="F17" s="56">
        <f>F4</f>
        <v>9.8800000000000008</v>
      </c>
      <c r="G17" s="56">
        <f>E17/F17</f>
        <v>1455.6680161943318</v>
      </c>
      <c r="H17" s="61">
        <f>E17-D17</f>
        <v>4386</v>
      </c>
      <c r="I17" s="56" t="s">
        <v>181</v>
      </c>
    </row>
    <row r="18" spans="1:9" x14ac:dyDescent="0.3">
      <c r="A18" s="56">
        <v>2</v>
      </c>
      <c r="B18" s="56" t="s">
        <v>203</v>
      </c>
      <c r="C18" s="58" t="s">
        <v>204</v>
      </c>
      <c r="D18" s="60">
        <f>D5*$C$13</f>
        <v>15793</v>
      </c>
      <c r="E18" s="60">
        <f>E5*$C$13</f>
        <v>49827</v>
      </c>
      <c r="F18" s="56">
        <f>F5</f>
        <v>13.28</v>
      </c>
      <c r="G18" s="56">
        <f t="shared" ref="G18:G23" si="2">E18/F18</f>
        <v>3752.0331325301208</v>
      </c>
      <c r="H18" s="61">
        <f t="shared" ref="H18:H23" si="3">E18-D18</f>
        <v>34034</v>
      </c>
      <c r="I18" s="56" t="s">
        <v>181</v>
      </c>
    </row>
    <row r="19" spans="1:9" x14ac:dyDescent="0.3">
      <c r="A19" s="56">
        <v>3</v>
      </c>
      <c r="B19" s="56" t="s">
        <v>160</v>
      </c>
      <c r="C19" s="56" t="s">
        <v>162</v>
      </c>
      <c r="D19" s="60">
        <f>D6*$C$13</f>
        <v>11798</v>
      </c>
      <c r="E19" s="60">
        <f>E6*$C$13</f>
        <v>16405</v>
      </c>
      <c r="F19" s="56">
        <f>F6</f>
        <v>15.5</v>
      </c>
      <c r="G19" s="56">
        <f t="shared" si="2"/>
        <v>1058.3870967741937</v>
      </c>
      <c r="H19" s="61">
        <f t="shared" si="3"/>
        <v>4607</v>
      </c>
      <c r="I19" s="56" t="s">
        <v>181</v>
      </c>
    </row>
    <row r="20" spans="1:9" x14ac:dyDescent="0.3">
      <c r="A20" s="56">
        <v>4</v>
      </c>
      <c r="B20" s="58" t="s">
        <v>173</v>
      </c>
      <c r="C20" s="58" t="s">
        <v>174</v>
      </c>
      <c r="D20" s="60">
        <f>D7*$C$13</f>
        <v>4794</v>
      </c>
      <c r="E20" s="60">
        <f>E7*$C$13</f>
        <v>8806</v>
      </c>
      <c r="F20" s="56">
        <f>F7</f>
        <v>10.83</v>
      </c>
      <c r="G20" s="56">
        <f t="shared" si="2"/>
        <v>813.11172668513393</v>
      </c>
      <c r="H20" s="61">
        <f t="shared" si="3"/>
        <v>4012</v>
      </c>
      <c r="I20" s="56" t="s">
        <v>181</v>
      </c>
    </row>
    <row r="21" spans="1:9" x14ac:dyDescent="0.3">
      <c r="A21" s="56">
        <v>5</v>
      </c>
      <c r="B21" s="58" t="s">
        <v>192</v>
      </c>
      <c r="C21" s="58" t="s">
        <v>193</v>
      </c>
      <c r="D21" s="60">
        <f>D8*$C$13</f>
        <v>3731.5</v>
      </c>
      <c r="E21" s="60">
        <f>E8*$C$13</f>
        <v>5848</v>
      </c>
      <c r="F21" s="56">
        <f>F8</f>
        <v>12.15</v>
      </c>
      <c r="G21" s="56">
        <f t="shared" si="2"/>
        <v>481.31687242798353</v>
      </c>
      <c r="H21" s="61">
        <f t="shared" si="3"/>
        <v>2116.5</v>
      </c>
      <c r="I21" s="56" t="s">
        <v>181</v>
      </c>
    </row>
    <row r="22" spans="1:9" x14ac:dyDescent="0.3">
      <c r="A22" s="56">
        <v>6</v>
      </c>
      <c r="B22" s="58" t="s">
        <v>195</v>
      </c>
      <c r="C22" s="58" t="s">
        <v>163</v>
      </c>
      <c r="D22" s="60">
        <f>D9*$C$13</f>
        <v>5270</v>
      </c>
      <c r="E22" s="60">
        <f>E9*$C$13</f>
        <v>7420.5</v>
      </c>
      <c r="F22" s="56">
        <f>F9</f>
        <v>13.81</v>
      </c>
      <c r="G22" s="56">
        <f t="shared" si="2"/>
        <v>537.32802317161475</v>
      </c>
      <c r="H22" s="61">
        <f t="shared" si="3"/>
        <v>2150.5</v>
      </c>
      <c r="I22" s="56" t="s">
        <v>181</v>
      </c>
    </row>
    <row r="23" spans="1:9" x14ac:dyDescent="0.3">
      <c r="A23" s="56">
        <v>7</v>
      </c>
      <c r="B23" s="58" t="s">
        <v>198</v>
      </c>
      <c r="C23" s="58" t="s">
        <v>199</v>
      </c>
      <c r="D23" s="60">
        <f>D10*$C$13</f>
        <v>10225.5</v>
      </c>
      <c r="E23" s="60">
        <f>E10*$C$13</f>
        <v>13243</v>
      </c>
      <c r="F23" s="56">
        <f>F10</f>
        <v>15.08</v>
      </c>
      <c r="G23" s="56">
        <f t="shared" si="2"/>
        <v>878.18302387267909</v>
      </c>
      <c r="H23" s="61">
        <f t="shared" si="3"/>
        <v>3017.5</v>
      </c>
      <c r="I23" s="56" t="s">
        <v>181</v>
      </c>
    </row>
    <row r="24" spans="1:9" ht="15" thickBot="1" x14ac:dyDescent="0.35">
      <c r="B24" s="58"/>
      <c r="C24" s="58"/>
      <c r="D24" s="60"/>
      <c r="E24" s="60"/>
      <c r="H24" s="61"/>
    </row>
    <row r="25" spans="1:9" ht="15" thickBot="1" x14ac:dyDescent="0.35">
      <c r="B25" s="63" t="s">
        <v>182</v>
      </c>
      <c r="C25" s="64">
        <f>MEDIAN(Tableau9[EV/EBITDA])</f>
        <v>13.28</v>
      </c>
      <c r="D25" s="60"/>
      <c r="E25" s="60"/>
      <c r="H25" s="61"/>
    </row>
    <row r="26" spans="1:9" ht="15" thickBot="1" x14ac:dyDescent="0.35">
      <c r="B26" s="58"/>
      <c r="C26" s="58"/>
      <c r="D26" s="60"/>
      <c r="E26" s="60"/>
      <c r="H26" s="61"/>
    </row>
    <row r="27" spans="1:9" ht="15" thickBot="1" x14ac:dyDescent="0.35">
      <c r="B27" s="65" t="s">
        <v>189</v>
      </c>
      <c r="C27" s="66"/>
      <c r="F27" s="65" t="s">
        <v>190</v>
      </c>
      <c r="G27" s="66"/>
      <c r="H27" s="67"/>
      <c r="I27" s="67"/>
    </row>
    <row r="28" spans="1:9" x14ac:dyDescent="0.3">
      <c r="B28" s="68" t="s">
        <v>183</v>
      </c>
      <c r="C28" s="69">
        <v>1120</v>
      </c>
      <c r="F28" s="68" t="s">
        <v>183</v>
      </c>
      <c r="G28" s="69">
        <v>1168.2904000000001</v>
      </c>
      <c r="H28" s="70"/>
      <c r="I28" s="70"/>
    </row>
    <row r="29" spans="1:9" x14ac:dyDescent="0.3">
      <c r="B29" s="71" t="s">
        <v>188</v>
      </c>
      <c r="C29" s="69">
        <f>C28*C25</f>
        <v>14873.599999999999</v>
      </c>
      <c r="F29" s="71" t="s">
        <v>188</v>
      </c>
      <c r="G29" s="69">
        <f>G28*C25</f>
        <v>15514.896512000001</v>
      </c>
    </row>
    <row r="30" spans="1:9" x14ac:dyDescent="0.3">
      <c r="B30" s="71" t="s">
        <v>164</v>
      </c>
      <c r="C30" s="72">
        <v>2495</v>
      </c>
      <c r="F30" s="71" t="s">
        <v>164</v>
      </c>
      <c r="G30" s="72">
        <f>C30-660.8+614.25</f>
        <v>2448.4499999999998</v>
      </c>
      <c r="H30" s="58"/>
    </row>
    <row r="31" spans="1:9" x14ac:dyDescent="0.3">
      <c r="B31" s="71" t="s">
        <v>184</v>
      </c>
      <c r="C31" s="73">
        <f>(C29-C30)</f>
        <v>12378.599999999999</v>
      </c>
      <c r="F31" s="71" t="s">
        <v>184</v>
      </c>
      <c r="G31" s="73">
        <f>G29-G30</f>
        <v>13066.446512000002</v>
      </c>
      <c r="H31" s="58"/>
    </row>
    <row r="32" spans="1:9" x14ac:dyDescent="0.3">
      <c r="B32" s="71" t="s">
        <v>186</v>
      </c>
      <c r="C32" s="72">
        <v>243667720</v>
      </c>
      <c r="F32" s="71" t="s">
        <v>186</v>
      </c>
      <c r="G32" s="72">
        <v>243667720</v>
      </c>
      <c r="H32" s="58"/>
      <c r="I32" s="74"/>
    </row>
    <row r="33" spans="2:9" ht="15" thickBot="1" x14ac:dyDescent="0.35">
      <c r="B33" s="75" t="s">
        <v>185</v>
      </c>
      <c r="C33" s="76">
        <f>C31*1000000/C32</f>
        <v>50.8011483835446</v>
      </c>
      <c r="F33" s="75" t="s">
        <v>185</v>
      </c>
      <c r="G33" s="77">
        <f>G31*1000000/G32</f>
        <v>53.624035682691172</v>
      </c>
      <c r="H33" s="58"/>
      <c r="I33" s="78"/>
    </row>
  </sheetData>
  <mergeCells count="3">
    <mergeCell ref="B27:C27"/>
    <mergeCell ref="F27:G27"/>
    <mergeCell ref="H28:I28"/>
  </mergeCells>
  <hyperlinks>
    <hyperlink ref="L8" r:id="rId1" xr:uid="{D93FF405-13FB-4652-B031-F52086EB3050}"/>
    <hyperlink ref="L4" r:id="rId2" xr:uid="{CED5B01A-5ABB-480D-AB8D-A41C541E7927}"/>
    <hyperlink ref="L9" r:id="rId3" xr:uid="{847FC211-98C4-45F1-9D96-0A8D70C7CC03}"/>
    <hyperlink ref="L10" r:id="rId4" xr:uid="{31483C75-EB13-4458-BC0F-9A3F391D5ED1}"/>
    <hyperlink ref="L7" r:id="rId5" xr:uid="{A4CE6A41-CBBB-43EC-8FE9-3C895050A2D4}"/>
    <hyperlink ref="L6" r:id="rId6" xr:uid="{28933519-D53A-4E71-B982-4B00F4D7A9F3}"/>
    <hyperlink ref="L5" r:id="rId7" xr:uid="{22662392-7A1E-4089-ADB2-3DEFC8D8EC89}"/>
  </hyperlinks>
  <pageMargins left="0.7" right="0.7" top="0.75" bottom="0.75" header="0.3" footer="0.3"/>
  <tableParts count="2">
    <tablePart r:id="rId8"/>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2127F-3EA9-4EE3-9A37-7744C97738FA}">
  <dimension ref="B3:H60"/>
  <sheetViews>
    <sheetView topLeftCell="A35" workbookViewId="0">
      <selection activeCell="G50" sqref="G50"/>
    </sheetView>
  </sheetViews>
  <sheetFormatPr baseColWidth="10" defaultRowHeight="14.4" x14ac:dyDescent="0.3"/>
  <cols>
    <col min="2" max="2" width="24.88671875" customWidth="1"/>
    <col min="3" max="3" width="12.77734375" customWidth="1"/>
  </cols>
  <sheetData>
    <row r="3" spans="2:3" x14ac:dyDescent="0.3">
      <c r="B3" s="137" t="s">
        <v>213</v>
      </c>
      <c r="C3" s="137"/>
    </row>
    <row r="4" spans="2:3" x14ac:dyDescent="0.3">
      <c r="B4" s="1" t="s">
        <v>214</v>
      </c>
      <c r="C4" s="128" t="s">
        <v>244</v>
      </c>
    </row>
    <row r="5" spans="2:3" x14ac:dyDescent="0.3">
      <c r="B5" s="136" t="s">
        <v>245</v>
      </c>
      <c r="C5" s="147">
        <v>0.2</v>
      </c>
    </row>
    <row r="6" spans="2:3" x14ac:dyDescent="0.3">
      <c r="B6" s="6" t="s">
        <v>215</v>
      </c>
      <c r="C6" s="127">
        <f>C4*(1+C5)</f>
        <v>16798.416000000001</v>
      </c>
    </row>
    <row r="7" spans="2:3" x14ac:dyDescent="0.3">
      <c r="B7" s="6" t="s">
        <v>216</v>
      </c>
      <c r="C7" s="126">
        <v>0.6</v>
      </c>
    </row>
    <row r="8" spans="2:3" x14ac:dyDescent="0.3">
      <c r="B8" s="6" t="s">
        <v>217</v>
      </c>
      <c r="C8" s="126">
        <v>0.05</v>
      </c>
    </row>
    <row r="9" spans="2:3" x14ac:dyDescent="0.3">
      <c r="B9" s="5" t="s">
        <v>218</v>
      </c>
      <c r="C9" s="5">
        <v>5</v>
      </c>
    </row>
    <row r="10" spans="2:3" x14ac:dyDescent="0.3">
      <c r="B10" s="5" t="s">
        <v>208</v>
      </c>
      <c r="C10" s="5">
        <v>660.0840760000001</v>
      </c>
    </row>
    <row r="11" spans="2:3" x14ac:dyDescent="0.3">
      <c r="B11" s="5" t="s">
        <v>209</v>
      </c>
      <c r="C11" s="5">
        <v>722.152733738547</v>
      </c>
    </row>
    <row r="12" spans="2:3" x14ac:dyDescent="0.3">
      <c r="B12" s="5" t="s">
        <v>219</v>
      </c>
      <c r="C12" s="5">
        <f>C6/C10</f>
        <v>25.448903572701848</v>
      </c>
    </row>
    <row r="13" spans="2:3" x14ac:dyDescent="0.3">
      <c r="B13" s="5"/>
      <c r="C13" s="5"/>
    </row>
    <row r="14" spans="2:3" x14ac:dyDescent="0.3">
      <c r="B14" s="5"/>
      <c r="C14" s="5"/>
    </row>
    <row r="15" spans="2:3" x14ac:dyDescent="0.3">
      <c r="B15" s="138" t="s">
        <v>220</v>
      </c>
      <c r="C15" s="138"/>
    </row>
    <row r="16" spans="2:3" x14ac:dyDescent="0.3">
      <c r="B16" s="5" t="s">
        <v>210</v>
      </c>
      <c r="C16" s="5">
        <f>C7*C6</f>
        <v>10079.0496</v>
      </c>
    </row>
    <row r="17" spans="2:7" x14ac:dyDescent="0.3">
      <c r="B17" s="139" t="s">
        <v>221</v>
      </c>
      <c r="C17" s="139">
        <f>C6-C16</f>
        <v>6719.3664000000008</v>
      </c>
    </row>
    <row r="18" spans="2:7" ht="15" thickBot="1" x14ac:dyDescent="0.35">
      <c r="B18" s="43" t="s">
        <v>222</v>
      </c>
      <c r="C18" s="43">
        <f>C16+C17</f>
        <v>16798.416000000001</v>
      </c>
    </row>
    <row r="21" spans="2:7" x14ac:dyDescent="0.3">
      <c r="B21" s="137" t="s">
        <v>223</v>
      </c>
      <c r="C21" s="137"/>
      <c r="D21" s="137"/>
      <c r="E21" s="137"/>
      <c r="F21" s="137"/>
      <c r="G21" s="137"/>
    </row>
    <row r="22" spans="2:7" x14ac:dyDescent="0.3">
      <c r="B22" t="s">
        <v>46</v>
      </c>
      <c r="C22" s="4" t="s">
        <v>87</v>
      </c>
      <c r="D22" s="4" t="s">
        <v>88</v>
      </c>
      <c r="E22" s="4" t="s">
        <v>89</v>
      </c>
      <c r="F22" s="4" t="s">
        <v>90</v>
      </c>
      <c r="G22" s="4" t="s">
        <v>91</v>
      </c>
    </row>
    <row r="23" spans="2:7" x14ac:dyDescent="0.3">
      <c r="B23" s="5" t="s">
        <v>224</v>
      </c>
      <c r="C23" s="5">
        <f>C16</f>
        <v>10079.0496</v>
      </c>
      <c r="D23" s="5">
        <f>C27</f>
        <v>9922.918004000001</v>
      </c>
      <c r="E23" s="5">
        <f t="shared" ref="E23:G23" si="0">D27</f>
        <v>9735.8768855400012</v>
      </c>
      <c r="F23" s="5">
        <f t="shared" si="0"/>
        <v>9523.770409727822</v>
      </c>
      <c r="G23" s="5">
        <f t="shared" si="0"/>
        <v>9288.4784043634281</v>
      </c>
    </row>
    <row r="24" spans="2:7" x14ac:dyDescent="0.3">
      <c r="B24" s="5" t="s">
        <v>0</v>
      </c>
      <c r="C24" s="5">
        <v>660.0840760000001</v>
      </c>
      <c r="D24" s="5">
        <v>683.18701866000004</v>
      </c>
      <c r="E24" s="5">
        <v>698.90032008918001</v>
      </c>
      <c r="F24" s="5">
        <v>711.48052585078506</v>
      </c>
      <c r="G24" s="5">
        <v>722.152733738547</v>
      </c>
    </row>
    <row r="25" spans="2:7" x14ac:dyDescent="0.3">
      <c r="B25" s="5" t="s">
        <v>211</v>
      </c>
      <c r="C25" s="5">
        <f>$C$8*C23</f>
        <v>503.95248000000004</v>
      </c>
      <c r="D25" s="5">
        <f t="shared" ref="D25:G25" si="1">$C$8*D23</f>
        <v>496.14590020000009</v>
      </c>
      <c r="E25" s="5">
        <f t="shared" si="1"/>
        <v>486.79384427700006</v>
      </c>
      <c r="F25" s="5">
        <f t="shared" si="1"/>
        <v>476.1885204863911</v>
      </c>
      <c r="G25" s="5">
        <f t="shared" si="1"/>
        <v>464.42392021817142</v>
      </c>
    </row>
    <row r="26" spans="2:7" x14ac:dyDescent="0.3">
      <c r="B26" s="5" t="s">
        <v>212</v>
      </c>
      <c r="C26" s="5">
        <f>C24-C25</f>
        <v>156.13159600000006</v>
      </c>
      <c r="D26" s="5">
        <f t="shared" ref="D26:G26" si="2">D24-D25</f>
        <v>187.04111845999995</v>
      </c>
      <c r="E26" s="5">
        <f t="shared" si="2"/>
        <v>212.10647581217995</v>
      </c>
      <c r="F26" s="5">
        <f t="shared" si="2"/>
        <v>235.29200536439396</v>
      </c>
      <c r="G26" s="5">
        <f t="shared" si="2"/>
        <v>257.72881352037558</v>
      </c>
    </row>
    <row r="27" spans="2:7" x14ac:dyDescent="0.3">
      <c r="B27" s="5" t="s">
        <v>225</v>
      </c>
      <c r="C27" s="5">
        <f>C23-C26</f>
        <v>9922.918004000001</v>
      </c>
      <c r="D27" s="5">
        <f t="shared" ref="D27:G27" si="3">D23-D26</f>
        <v>9735.8768855400012</v>
      </c>
      <c r="E27" s="5">
        <f t="shared" si="3"/>
        <v>9523.770409727822</v>
      </c>
      <c r="F27" s="5">
        <f t="shared" si="3"/>
        <v>9288.4784043634281</v>
      </c>
      <c r="G27" s="5">
        <f t="shared" si="3"/>
        <v>9030.7495908430519</v>
      </c>
    </row>
    <row r="28" spans="2:7" x14ac:dyDescent="0.3">
      <c r="B28" s="5"/>
      <c r="C28" s="5"/>
      <c r="D28" s="5"/>
      <c r="E28" s="5"/>
      <c r="F28" s="5"/>
      <c r="G28" s="5"/>
    </row>
    <row r="29" spans="2:7" x14ac:dyDescent="0.3">
      <c r="B29" s="5"/>
      <c r="C29" s="5"/>
      <c r="D29" s="5"/>
      <c r="E29" s="5"/>
      <c r="F29" s="5"/>
      <c r="G29" s="5"/>
    </row>
    <row r="30" spans="2:7" x14ac:dyDescent="0.3">
      <c r="B30" s="138" t="s">
        <v>226</v>
      </c>
      <c r="C30" s="138"/>
      <c r="D30" s="5"/>
      <c r="E30" s="5"/>
      <c r="F30" s="5"/>
      <c r="G30" s="5"/>
    </row>
    <row r="31" spans="2:7" x14ac:dyDescent="0.3">
      <c r="B31" s="5" t="s">
        <v>227</v>
      </c>
      <c r="C31" s="5">
        <f>C11*C12</f>
        <v>18377.995285675315</v>
      </c>
      <c r="D31" s="5"/>
      <c r="E31" s="5"/>
      <c r="F31" s="5"/>
      <c r="G31" s="5"/>
    </row>
    <row r="32" spans="2:7" x14ac:dyDescent="0.3">
      <c r="B32" s="140" t="s">
        <v>228</v>
      </c>
      <c r="C32" s="140">
        <f>G27</f>
        <v>9030.7495908430519</v>
      </c>
      <c r="D32" s="5"/>
      <c r="E32" s="5"/>
      <c r="F32" s="5"/>
      <c r="G32" s="5"/>
    </row>
    <row r="33" spans="2:7" ht="15" thickBot="1" x14ac:dyDescent="0.35">
      <c r="B33" s="43" t="s">
        <v>229</v>
      </c>
      <c r="C33" s="43">
        <f>C31-C32</f>
        <v>9347.2456948322633</v>
      </c>
      <c r="D33" s="5"/>
      <c r="E33" s="5"/>
      <c r="F33" s="5"/>
      <c r="G33" s="5"/>
    </row>
    <row r="34" spans="2:7" x14ac:dyDescent="0.3">
      <c r="B34" s="5"/>
      <c r="C34" s="5"/>
      <c r="D34" s="5"/>
      <c r="E34" s="5"/>
      <c r="F34" s="5"/>
      <c r="G34" s="5"/>
    </row>
    <row r="35" spans="2:7" x14ac:dyDescent="0.3">
      <c r="B35" s="5"/>
      <c r="C35" s="5"/>
      <c r="D35" s="5"/>
      <c r="E35" s="5"/>
      <c r="F35" s="5"/>
      <c r="G35" s="5"/>
    </row>
    <row r="36" spans="2:7" x14ac:dyDescent="0.3">
      <c r="B36" s="138" t="s">
        <v>230</v>
      </c>
      <c r="C36" s="138"/>
      <c r="D36" s="5"/>
      <c r="E36" s="5"/>
      <c r="F36" s="5"/>
      <c r="G36" s="5"/>
    </row>
    <row r="37" spans="2:7" x14ac:dyDescent="0.3">
      <c r="B37" s="5" t="s">
        <v>231</v>
      </c>
      <c r="C37" s="5">
        <f>C17</f>
        <v>6719.3664000000008</v>
      </c>
      <c r="D37" s="5"/>
      <c r="E37" s="5"/>
      <c r="F37" s="5"/>
      <c r="G37" s="5"/>
    </row>
    <row r="38" spans="2:7" x14ac:dyDescent="0.3">
      <c r="B38" s="140" t="s">
        <v>232</v>
      </c>
      <c r="C38" s="140">
        <f>C33</f>
        <v>9347.2456948322633</v>
      </c>
      <c r="D38" s="5"/>
      <c r="E38" s="5"/>
      <c r="F38" s="5"/>
      <c r="G38" s="5"/>
    </row>
    <row r="39" spans="2:7" x14ac:dyDescent="0.3">
      <c r="B39" s="5" t="s">
        <v>233</v>
      </c>
      <c r="C39" s="5">
        <f>C38/C37</f>
        <v>1.3910903407250217</v>
      </c>
      <c r="D39" s="5"/>
      <c r="E39" s="5"/>
      <c r="F39" s="5"/>
      <c r="G39" s="5"/>
    </row>
    <row r="40" spans="2:7" x14ac:dyDescent="0.3">
      <c r="B40" t="s">
        <v>46</v>
      </c>
      <c r="C40" s="4" t="s">
        <v>87</v>
      </c>
      <c r="D40" s="4" t="s">
        <v>88</v>
      </c>
      <c r="E40" s="4" t="s">
        <v>89</v>
      </c>
      <c r="F40" s="4" t="s">
        <v>90</v>
      </c>
      <c r="G40" s="4" t="s">
        <v>91</v>
      </c>
    </row>
    <row r="41" spans="2:7" x14ac:dyDescent="0.3">
      <c r="B41" t="s">
        <v>221</v>
      </c>
      <c r="C41" s="5">
        <f>-C37</f>
        <v>-6719.3664000000008</v>
      </c>
      <c r="D41" s="5">
        <v>0</v>
      </c>
      <c r="E41" s="5">
        <v>0</v>
      </c>
      <c r="F41" s="5">
        <v>0</v>
      </c>
      <c r="G41" s="5">
        <f>C38</f>
        <v>9347.2456948322633</v>
      </c>
    </row>
    <row r="42" spans="2:7" x14ac:dyDescent="0.3">
      <c r="B42" t="s">
        <v>234</v>
      </c>
      <c r="C42" s="7">
        <f>IRR(C41:G41)</f>
        <v>8.6022526965612078E-2</v>
      </c>
    </row>
    <row r="44" spans="2:7" x14ac:dyDescent="0.3">
      <c r="B44" s="137" t="s">
        <v>235</v>
      </c>
      <c r="C44" s="137"/>
    </row>
    <row r="45" spans="2:7" x14ac:dyDescent="0.3">
      <c r="B45" s="2" t="s">
        <v>236</v>
      </c>
      <c r="C45" s="9">
        <f>C6</f>
        <v>16798.416000000001</v>
      </c>
    </row>
    <row r="46" spans="2:7" x14ac:dyDescent="0.3">
      <c r="B46" s="2" t="s">
        <v>237</v>
      </c>
      <c r="C46" s="9">
        <f>C16</f>
        <v>10079.0496</v>
      </c>
    </row>
    <row r="47" spans="2:7" x14ac:dyDescent="0.3">
      <c r="B47" s="2" t="s">
        <v>238</v>
      </c>
      <c r="C47" s="9">
        <f>C37</f>
        <v>6719.3664000000008</v>
      </c>
    </row>
    <row r="48" spans="2:7" x14ac:dyDescent="0.3">
      <c r="B48" s="2" t="s">
        <v>239</v>
      </c>
      <c r="C48" s="9">
        <f>C38</f>
        <v>9347.2456948322633</v>
      </c>
    </row>
    <row r="49" spans="2:8" x14ac:dyDescent="0.3">
      <c r="B49" s="2" t="s">
        <v>240</v>
      </c>
      <c r="C49" s="9">
        <f>C39</f>
        <v>1.3910903407250217</v>
      </c>
    </row>
    <row r="50" spans="2:8" ht="15" thickBot="1" x14ac:dyDescent="0.35">
      <c r="B50" s="141" t="s">
        <v>241</v>
      </c>
      <c r="C50" s="142">
        <f>C42</f>
        <v>8.6022526965612078E-2</v>
      </c>
    </row>
    <row r="52" spans="2:8" x14ac:dyDescent="0.3">
      <c r="B52" s="137" t="s">
        <v>243</v>
      </c>
      <c r="C52" s="137"/>
      <c r="D52" s="137"/>
      <c r="E52" s="137"/>
      <c r="F52" s="137"/>
      <c r="G52" s="137"/>
      <c r="H52" s="137"/>
    </row>
    <row r="53" spans="2:8" x14ac:dyDescent="0.3">
      <c r="D53" s="3" t="s">
        <v>240</v>
      </c>
      <c r="E53" s="3"/>
      <c r="F53" s="3"/>
      <c r="G53" s="3"/>
      <c r="H53" s="3"/>
    </row>
    <row r="54" spans="2:8" x14ac:dyDescent="0.3">
      <c r="C54" s="144">
        <f>C50</f>
        <v>8.6022526965612078E-2</v>
      </c>
      <c r="D54" s="145">
        <v>1.2</v>
      </c>
      <c r="E54" s="145">
        <v>1.3</v>
      </c>
      <c r="F54" s="145">
        <v>1.39</v>
      </c>
      <c r="G54" s="145">
        <v>1.5</v>
      </c>
      <c r="H54" s="145">
        <v>1.6</v>
      </c>
    </row>
    <row r="55" spans="2:8" x14ac:dyDescent="0.3">
      <c r="B55" s="143" t="s">
        <v>242</v>
      </c>
      <c r="C55" s="146">
        <v>0.5</v>
      </c>
      <c r="D55" s="21">
        <f t="dataTable" ref="D55:H59" dt2D="1" dtr="1" r1="C49" r2="C7"/>
        <v>8.1512962958335988E-2</v>
      </c>
      <c r="E55" s="21">
        <v>8.1512962958335988E-2</v>
      </c>
      <c r="F55" s="21">
        <v>8.1512962958335988E-2</v>
      </c>
      <c r="G55" s="21">
        <v>8.1512962958335988E-2</v>
      </c>
      <c r="H55" s="21">
        <v>8.1512962958335988E-2</v>
      </c>
    </row>
    <row r="56" spans="2:8" x14ac:dyDescent="0.3">
      <c r="B56" s="143"/>
      <c r="C56" s="146">
        <v>0.55000000000000004</v>
      </c>
      <c r="D56" s="21">
        <v>8.3524167065616606E-2</v>
      </c>
      <c r="E56" s="21">
        <v>8.3524167065616606E-2</v>
      </c>
      <c r="F56" s="21">
        <v>8.3524167065616606E-2</v>
      </c>
      <c r="G56" s="21">
        <v>8.3524167065616606E-2</v>
      </c>
      <c r="H56" s="21">
        <v>8.3524167065616606E-2</v>
      </c>
    </row>
    <row r="57" spans="2:8" x14ac:dyDescent="0.3">
      <c r="B57" s="143"/>
      <c r="C57" s="146">
        <v>0.6</v>
      </c>
      <c r="D57" s="21">
        <v>8.6022526965612078E-2</v>
      </c>
      <c r="E57" s="21">
        <v>8.6022526965612078E-2</v>
      </c>
      <c r="F57" s="21">
        <v>8.6022526965612078E-2</v>
      </c>
      <c r="G57" s="21">
        <v>8.6022526965612078E-2</v>
      </c>
      <c r="H57" s="21">
        <v>8.6022526965612078E-2</v>
      </c>
    </row>
    <row r="58" spans="2:8" x14ac:dyDescent="0.3">
      <c r="B58" s="143"/>
      <c r="C58" s="146">
        <v>0.65</v>
      </c>
      <c r="D58" s="21">
        <v>8.9209580098185359E-2</v>
      </c>
      <c r="E58" s="21">
        <v>8.9209580098185359E-2</v>
      </c>
      <c r="F58" s="21">
        <v>8.9209580098185359E-2</v>
      </c>
      <c r="G58" s="21">
        <v>8.9209580098185359E-2</v>
      </c>
      <c r="H58" s="21">
        <v>8.9209580098185359E-2</v>
      </c>
    </row>
    <row r="59" spans="2:8" x14ac:dyDescent="0.3">
      <c r="B59" s="143"/>
      <c r="C59" s="146">
        <v>0.7</v>
      </c>
      <c r="D59" s="21">
        <v>9.3415940570679368E-2</v>
      </c>
      <c r="E59" s="21">
        <v>9.3415940570679368E-2</v>
      </c>
      <c r="F59" s="21">
        <v>9.3415940570679368E-2</v>
      </c>
      <c r="G59" s="21">
        <v>9.3415940570679368E-2</v>
      </c>
      <c r="H59" s="21">
        <v>9.3415940570679368E-2</v>
      </c>
    </row>
    <row r="60" spans="2:8" x14ac:dyDescent="0.3">
      <c r="B60" s="129"/>
    </row>
  </sheetData>
  <mergeCells count="9">
    <mergeCell ref="D53:H53"/>
    <mergeCell ref="B55:B59"/>
    <mergeCell ref="B52:H52"/>
    <mergeCell ref="B3:C3"/>
    <mergeCell ref="B15:C15"/>
    <mergeCell ref="B21:G21"/>
    <mergeCell ref="B36:C36"/>
    <mergeCell ref="B30:C30"/>
    <mergeCell ref="B44:C44"/>
  </mergeCells>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81FBE-4970-471A-8857-4D487D62CABC}">
  <dimension ref="B3:H75"/>
  <sheetViews>
    <sheetView tabSelected="1" topLeftCell="A3" workbookViewId="0">
      <selection activeCell="B4" sqref="B4"/>
    </sheetView>
  </sheetViews>
  <sheetFormatPr baseColWidth="10" defaultRowHeight="14.4" x14ac:dyDescent="0.3"/>
  <cols>
    <col min="2" max="2" width="30.21875" bestFit="1" customWidth="1"/>
  </cols>
  <sheetData>
    <row r="3" spans="2:5" x14ac:dyDescent="0.3">
      <c r="B3" s="49" t="s">
        <v>246</v>
      </c>
    </row>
    <row r="4" spans="2:5" x14ac:dyDescent="0.3">
      <c r="B4" t="s">
        <v>248</v>
      </c>
      <c r="C4">
        <v>4981</v>
      </c>
    </row>
    <row r="6" spans="2:5" x14ac:dyDescent="0.3">
      <c r="B6" s="49" t="s">
        <v>180</v>
      </c>
      <c r="C6">
        <v>0.85</v>
      </c>
    </row>
    <row r="7" spans="2:5" x14ac:dyDescent="0.3">
      <c r="B7" s="49"/>
    </row>
    <row r="8" spans="2:5" x14ac:dyDescent="0.3">
      <c r="B8" s="49" t="s">
        <v>247</v>
      </c>
    </row>
    <row r="9" spans="2:5" x14ac:dyDescent="0.3">
      <c r="B9" s="49" t="s">
        <v>248</v>
      </c>
      <c r="C9">
        <f>C4*C6</f>
        <v>4233.8499999999995</v>
      </c>
    </row>
    <row r="10" spans="2:5" x14ac:dyDescent="0.3">
      <c r="B10" s="49" t="s">
        <v>249</v>
      </c>
      <c r="C10">
        <v>1120</v>
      </c>
    </row>
    <row r="11" spans="2:5" x14ac:dyDescent="0.3">
      <c r="B11" s="49" t="s">
        <v>250</v>
      </c>
      <c r="C11">
        <f>C9+C10</f>
        <v>5353.8499999999995</v>
      </c>
    </row>
    <row r="13" spans="2:5" x14ac:dyDescent="0.3">
      <c r="B13" s="49" t="s">
        <v>207</v>
      </c>
      <c r="C13" s="8"/>
    </row>
    <row r="14" spans="2:5" ht="15" x14ac:dyDescent="0.35">
      <c r="B14" s="49" t="s">
        <v>252</v>
      </c>
      <c r="C14" s="8">
        <v>0.03</v>
      </c>
      <c r="E14" s="10" t="s">
        <v>253</v>
      </c>
    </row>
    <row r="15" spans="2:5" x14ac:dyDescent="0.3">
      <c r="B15" s="49" t="s">
        <v>251</v>
      </c>
      <c r="C15">
        <f>C11*C14</f>
        <v>160.61549999999997</v>
      </c>
      <c r="E15" t="s">
        <v>254</v>
      </c>
    </row>
    <row r="16" spans="2:5" x14ac:dyDescent="0.3">
      <c r="E16" t="s">
        <v>255</v>
      </c>
    </row>
    <row r="18" spans="2:3" x14ac:dyDescent="0.3">
      <c r="B18" s="137" t="s">
        <v>213</v>
      </c>
      <c r="C18" s="137"/>
    </row>
    <row r="19" spans="2:3" x14ac:dyDescent="0.3">
      <c r="B19" s="1" t="s">
        <v>214</v>
      </c>
      <c r="C19" s="128" t="s">
        <v>244</v>
      </c>
    </row>
    <row r="20" spans="2:3" x14ac:dyDescent="0.3">
      <c r="B20" s="136" t="s">
        <v>245</v>
      </c>
      <c r="C20" s="147">
        <v>0.2</v>
      </c>
    </row>
    <row r="21" spans="2:3" x14ac:dyDescent="0.3">
      <c r="B21" s="6" t="s">
        <v>215</v>
      </c>
      <c r="C21" s="127">
        <f>C19*(1+C20)</f>
        <v>16798.416000000001</v>
      </c>
    </row>
    <row r="22" spans="2:3" x14ac:dyDescent="0.3">
      <c r="B22" s="6" t="s">
        <v>216</v>
      </c>
      <c r="C22" s="126">
        <v>0.6</v>
      </c>
    </row>
    <row r="23" spans="2:3" x14ac:dyDescent="0.3">
      <c r="B23" s="6" t="s">
        <v>217</v>
      </c>
      <c r="C23" s="126">
        <v>0.05</v>
      </c>
    </row>
    <row r="24" spans="2:3" x14ac:dyDescent="0.3">
      <c r="B24" s="5" t="s">
        <v>218</v>
      </c>
      <c r="C24" s="5">
        <v>5</v>
      </c>
    </row>
    <row r="25" spans="2:3" x14ac:dyDescent="0.3">
      <c r="B25" s="5" t="s">
        <v>208</v>
      </c>
      <c r="C25" s="5">
        <v>660.0840760000001</v>
      </c>
    </row>
    <row r="26" spans="2:3" x14ac:dyDescent="0.3">
      <c r="B26" s="5" t="s">
        <v>209</v>
      </c>
      <c r="C26" s="5">
        <v>722.152733738547</v>
      </c>
    </row>
    <row r="27" spans="2:3" x14ac:dyDescent="0.3">
      <c r="B27" s="5" t="s">
        <v>219</v>
      </c>
      <c r="C27" s="5">
        <f>C21/C25</f>
        <v>25.448903572701848</v>
      </c>
    </row>
    <row r="28" spans="2:3" x14ac:dyDescent="0.3">
      <c r="B28" s="5"/>
      <c r="C28" s="5"/>
    </row>
    <row r="29" spans="2:3" x14ac:dyDescent="0.3">
      <c r="B29" s="5"/>
      <c r="C29" s="5"/>
    </row>
    <row r="30" spans="2:3" x14ac:dyDescent="0.3">
      <c r="B30" s="138" t="s">
        <v>220</v>
      </c>
      <c r="C30" s="138"/>
    </row>
    <row r="31" spans="2:3" x14ac:dyDescent="0.3">
      <c r="B31" s="5" t="s">
        <v>210</v>
      </c>
      <c r="C31" s="5">
        <f>C22*C21</f>
        <v>10079.0496</v>
      </c>
    </row>
    <row r="32" spans="2:3" x14ac:dyDescent="0.3">
      <c r="B32" s="139" t="s">
        <v>221</v>
      </c>
      <c r="C32" s="139">
        <f>C21-C31</f>
        <v>6719.3664000000008</v>
      </c>
    </row>
    <row r="33" spans="2:7" ht="15" thickBot="1" x14ac:dyDescent="0.35">
      <c r="B33" s="43" t="s">
        <v>222</v>
      </c>
      <c r="C33" s="43">
        <f>C31+C32</f>
        <v>16798.416000000001</v>
      </c>
    </row>
    <row r="36" spans="2:7" x14ac:dyDescent="0.3">
      <c r="B36" s="137" t="s">
        <v>223</v>
      </c>
      <c r="C36" s="137"/>
      <c r="D36" s="137"/>
      <c r="E36" s="137"/>
      <c r="F36" s="137"/>
      <c r="G36" s="137"/>
    </row>
    <row r="37" spans="2:7" x14ac:dyDescent="0.3">
      <c r="B37" t="s">
        <v>46</v>
      </c>
      <c r="C37" s="4" t="s">
        <v>87</v>
      </c>
      <c r="D37" s="4" t="s">
        <v>88</v>
      </c>
      <c r="E37" s="4" t="s">
        <v>89</v>
      </c>
      <c r="F37" s="4" t="s">
        <v>90</v>
      </c>
      <c r="G37" s="4" t="s">
        <v>91</v>
      </c>
    </row>
    <row r="38" spans="2:7" x14ac:dyDescent="0.3">
      <c r="B38" s="5" t="s">
        <v>224</v>
      </c>
      <c r="C38" s="5">
        <f>C31</f>
        <v>10079.0496</v>
      </c>
      <c r="D38" s="5">
        <f>C43</f>
        <v>9762.3025039999993</v>
      </c>
      <c r="E38" s="5">
        <f t="shared" ref="E38:G38" si="0">D43</f>
        <v>9406.6151105399986</v>
      </c>
      <c r="F38" s="5">
        <f t="shared" si="0"/>
        <v>9017.4300459778187</v>
      </c>
      <c r="G38" s="5">
        <f t="shared" si="0"/>
        <v>8596.2055224259238</v>
      </c>
    </row>
    <row r="39" spans="2:7" x14ac:dyDescent="0.3">
      <c r="B39" s="5" t="s">
        <v>257</v>
      </c>
      <c r="C39" s="5">
        <v>660.0840760000001</v>
      </c>
      <c r="D39" s="5">
        <v>683.18701866000004</v>
      </c>
      <c r="E39" s="5">
        <v>698.90032008918001</v>
      </c>
      <c r="F39" s="5">
        <v>711.48052585078506</v>
      </c>
      <c r="G39" s="5">
        <v>722.152733738547</v>
      </c>
    </row>
    <row r="40" spans="2:7" x14ac:dyDescent="0.3">
      <c r="B40" s="5" t="s">
        <v>256</v>
      </c>
      <c r="C40" s="5">
        <f>C39+$C$15</f>
        <v>820.69957600000009</v>
      </c>
      <c r="D40" s="5">
        <f t="shared" ref="D40:G40" si="1">D39+$C$15</f>
        <v>843.80251866000003</v>
      </c>
      <c r="E40" s="5">
        <f t="shared" si="1"/>
        <v>859.51582008918001</v>
      </c>
      <c r="F40" s="5">
        <f t="shared" si="1"/>
        <v>872.09602585078505</v>
      </c>
      <c r="G40" s="5">
        <f t="shared" si="1"/>
        <v>882.768233738547</v>
      </c>
    </row>
    <row r="41" spans="2:7" x14ac:dyDescent="0.3">
      <c r="B41" s="5" t="s">
        <v>211</v>
      </c>
      <c r="C41" s="5">
        <f>$C$23*C38</f>
        <v>503.95248000000004</v>
      </c>
      <c r="D41" s="5">
        <f t="shared" ref="D41:G41" si="2">$C$23*D38</f>
        <v>488.11512519999997</v>
      </c>
      <c r="E41" s="5">
        <f t="shared" si="2"/>
        <v>470.33075552699995</v>
      </c>
      <c r="F41" s="5">
        <f t="shared" si="2"/>
        <v>450.87150229889096</v>
      </c>
      <c r="G41" s="5">
        <f t="shared" si="2"/>
        <v>429.81027612129623</v>
      </c>
    </row>
    <row r="42" spans="2:7" x14ac:dyDescent="0.3">
      <c r="B42" s="5" t="s">
        <v>258</v>
      </c>
      <c r="C42" s="5">
        <f>C40-C41</f>
        <v>316.74709600000006</v>
      </c>
      <c r="D42" s="5">
        <f t="shared" ref="D42:G42" si="3">D40-D41</f>
        <v>355.68739346000007</v>
      </c>
      <c r="E42" s="5">
        <f t="shared" si="3"/>
        <v>389.18506456218006</v>
      </c>
      <c r="F42" s="5">
        <f t="shared" si="3"/>
        <v>421.22452355189409</v>
      </c>
      <c r="G42" s="5">
        <f t="shared" si="3"/>
        <v>452.95795761725077</v>
      </c>
    </row>
    <row r="43" spans="2:7" x14ac:dyDescent="0.3">
      <c r="B43" s="5" t="s">
        <v>225</v>
      </c>
      <c r="C43" s="5">
        <f>C38-C42</f>
        <v>9762.3025039999993</v>
      </c>
      <c r="D43" s="5">
        <f>D38-D42</f>
        <v>9406.6151105399986</v>
      </c>
      <c r="E43" s="5">
        <f>E38-E42</f>
        <v>9017.4300459778187</v>
      </c>
      <c r="F43" s="5">
        <f>F38-F42</f>
        <v>8596.2055224259238</v>
      </c>
      <c r="G43" s="5">
        <f>G38-G42</f>
        <v>8143.2475648086729</v>
      </c>
    </row>
    <row r="46" spans="2:7" x14ac:dyDescent="0.3">
      <c r="B46" s="138" t="s">
        <v>226</v>
      </c>
      <c r="C46" s="138"/>
      <c r="D46" s="5"/>
      <c r="E46" s="5"/>
      <c r="F46" s="5"/>
      <c r="G46" s="5"/>
    </row>
    <row r="47" spans="2:7" x14ac:dyDescent="0.3">
      <c r="B47" s="5" t="s">
        <v>227</v>
      </c>
      <c r="C47" s="5">
        <f>C26*C27</f>
        <v>18377.995285675315</v>
      </c>
      <c r="D47" s="5"/>
      <c r="E47" s="5"/>
      <c r="F47" s="5"/>
      <c r="G47" s="5"/>
    </row>
    <row r="48" spans="2:7" x14ac:dyDescent="0.3">
      <c r="B48" s="140" t="s">
        <v>228</v>
      </c>
      <c r="C48" s="140">
        <f>G43</f>
        <v>8143.2475648086729</v>
      </c>
      <c r="D48" s="5"/>
      <c r="E48" s="5"/>
      <c r="F48" s="5"/>
      <c r="G48" s="5"/>
    </row>
    <row r="49" spans="2:7" ht="15" thickBot="1" x14ac:dyDescent="0.35">
      <c r="B49" s="43" t="s">
        <v>229</v>
      </c>
      <c r="C49" s="43">
        <f>C47-C48</f>
        <v>10234.747720866642</v>
      </c>
      <c r="D49" s="5"/>
      <c r="E49" s="5"/>
      <c r="F49" s="5"/>
      <c r="G49" s="5"/>
    </row>
    <row r="50" spans="2:7" x14ac:dyDescent="0.3">
      <c r="B50" s="5"/>
      <c r="C50" s="5"/>
      <c r="D50" s="5"/>
      <c r="E50" s="5"/>
      <c r="F50" s="5"/>
      <c r="G50" s="5"/>
    </row>
    <row r="51" spans="2:7" x14ac:dyDescent="0.3">
      <c r="B51" s="5"/>
      <c r="C51" s="5"/>
      <c r="D51" s="5"/>
      <c r="E51" s="5"/>
      <c r="F51" s="5"/>
      <c r="G51" s="5"/>
    </row>
    <row r="52" spans="2:7" x14ac:dyDescent="0.3">
      <c r="B52" s="138" t="s">
        <v>230</v>
      </c>
      <c r="C52" s="138"/>
      <c r="D52" s="5"/>
      <c r="E52" s="5"/>
      <c r="F52" s="5"/>
      <c r="G52" s="5"/>
    </row>
    <row r="53" spans="2:7" x14ac:dyDescent="0.3">
      <c r="B53" s="5" t="s">
        <v>231</v>
      </c>
      <c r="C53" s="5">
        <f>C32</f>
        <v>6719.3664000000008</v>
      </c>
      <c r="D53" s="5"/>
      <c r="E53" s="5"/>
      <c r="F53" s="5"/>
      <c r="G53" s="5"/>
    </row>
    <row r="54" spans="2:7" x14ac:dyDescent="0.3">
      <c r="B54" s="140" t="s">
        <v>232</v>
      </c>
      <c r="C54" s="140">
        <f>C49</f>
        <v>10234.747720866642</v>
      </c>
      <c r="D54" s="5"/>
      <c r="E54" s="5"/>
      <c r="F54" s="5"/>
      <c r="G54" s="5"/>
    </row>
    <row r="55" spans="2:7" x14ac:dyDescent="0.3">
      <c r="B55" s="5" t="s">
        <v>233</v>
      </c>
      <c r="C55" s="5">
        <f>C54/C53</f>
        <v>1.523171547970154</v>
      </c>
      <c r="D55" s="5"/>
      <c r="E55" s="5"/>
      <c r="F55" s="5"/>
      <c r="G55" s="5"/>
    </row>
    <row r="56" spans="2:7" x14ac:dyDescent="0.3">
      <c r="B56" t="s">
        <v>46</v>
      </c>
      <c r="C56" s="4" t="s">
        <v>87</v>
      </c>
      <c r="D56" s="4" t="s">
        <v>88</v>
      </c>
      <c r="E56" s="4" t="s">
        <v>89</v>
      </c>
      <c r="F56" s="4" t="s">
        <v>90</v>
      </c>
      <c r="G56" s="4" t="s">
        <v>91</v>
      </c>
    </row>
    <row r="57" spans="2:7" x14ac:dyDescent="0.3">
      <c r="B57" t="s">
        <v>221</v>
      </c>
      <c r="C57" s="5">
        <f>-C53</f>
        <v>-6719.3664000000008</v>
      </c>
      <c r="D57" s="5">
        <v>0</v>
      </c>
      <c r="E57" s="5">
        <v>0</v>
      </c>
      <c r="F57" s="5">
        <v>0</v>
      </c>
      <c r="G57" s="5">
        <f t="shared" ref="G57:G58" si="4">C54</f>
        <v>10234.747720866642</v>
      </c>
    </row>
    <row r="58" spans="2:7" x14ac:dyDescent="0.3">
      <c r="B58" t="s">
        <v>234</v>
      </c>
      <c r="C58" s="7">
        <f>IRR(C57:G57)</f>
        <v>0.11093130430944353</v>
      </c>
      <c r="G58" s="9">
        <f t="shared" si="4"/>
        <v>1.523171547970154</v>
      </c>
    </row>
    <row r="60" spans="2:7" x14ac:dyDescent="0.3">
      <c r="B60" s="137" t="s">
        <v>235</v>
      </c>
      <c r="C60" s="137"/>
    </row>
    <row r="61" spans="2:7" x14ac:dyDescent="0.3">
      <c r="B61" s="2" t="s">
        <v>236</v>
      </c>
      <c r="C61" s="9">
        <f>C21</f>
        <v>16798.416000000001</v>
      </c>
    </row>
    <row r="62" spans="2:7" x14ac:dyDescent="0.3">
      <c r="B62" s="2" t="s">
        <v>237</v>
      </c>
      <c r="C62" s="9">
        <f>C31</f>
        <v>10079.0496</v>
      </c>
    </row>
    <row r="63" spans="2:7" x14ac:dyDescent="0.3">
      <c r="B63" s="2" t="s">
        <v>238</v>
      </c>
      <c r="C63" s="9">
        <f>C53</f>
        <v>6719.3664000000008</v>
      </c>
    </row>
    <row r="64" spans="2:7" x14ac:dyDescent="0.3">
      <c r="B64" s="2" t="s">
        <v>239</v>
      </c>
      <c r="C64" s="9">
        <f>C54</f>
        <v>10234.747720866642</v>
      </c>
    </row>
    <row r="65" spans="2:8" x14ac:dyDescent="0.3">
      <c r="B65" s="2" t="s">
        <v>240</v>
      </c>
      <c r="C65" s="9">
        <f>C55</f>
        <v>1.523171547970154</v>
      </c>
    </row>
    <row r="66" spans="2:8" ht="15" thickBot="1" x14ac:dyDescent="0.35">
      <c r="B66" s="141" t="s">
        <v>241</v>
      </c>
      <c r="C66" s="142">
        <f>C58</f>
        <v>0.11093130430944353</v>
      </c>
    </row>
    <row r="68" spans="2:8" x14ac:dyDescent="0.3">
      <c r="B68" s="137" t="s">
        <v>243</v>
      </c>
      <c r="C68" s="137"/>
      <c r="D68" s="137"/>
      <c r="E68" s="137"/>
      <c r="F68" s="137"/>
      <c r="G68" s="137"/>
      <c r="H68" s="137"/>
    </row>
    <row r="69" spans="2:8" x14ac:dyDescent="0.3">
      <c r="D69" s="3" t="s">
        <v>240</v>
      </c>
      <c r="E69" s="3"/>
      <c r="F69" s="3"/>
      <c r="G69" s="3"/>
      <c r="H69" s="3"/>
    </row>
    <row r="70" spans="2:8" x14ac:dyDescent="0.3">
      <c r="C70" s="144">
        <f>C66</f>
        <v>0.11093130430944353</v>
      </c>
      <c r="D70" s="145">
        <v>1.32</v>
      </c>
      <c r="E70" s="145">
        <v>1.42</v>
      </c>
      <c r="F70" s="145">
        <v>1.52</v>
      </c>
      <c r="G70" s="145">
        <v>1.62</v>
      </c>
      <c r="H70" s="145">
        <v>1.72</v>
      </c>
    </row>
    <row r="71" spans="2:8" x14ac:dyDescent="0.3">
      <c r="B71" s="143" t="s">
        <v>242</v>
      </c>
      <c r="C71" s="146">
        <v>0.5</v>
      </c>
      <c r="D71" s="21">
        <f t="dataTable" ref="D71:H75" dt2D="1" dtr="1" r1="C65" r2="C22"/>
        <v>0.1018162239224718</v>
      </c>
      <c r="E71" s="21">
        <v>0.1018162239224718</v>
      </c>
      <c r="F71" s="21">
        <v>0.1018162239224718</v>
      </c>
      <c r="G71" s="21">
        <v>0.1018162239224718</v>
      </c>
      <c r="H71" s="21">
        <v>0.1018162239224718</v>
      </c>
    </row>
    <row r="72" spans="2:8" x14ac:dyDescent="0.3">
      <c r="B72" s="143"/>
      <c r="C72" s="146">
        <v>0.55000000000000004</v>
      </c>
      <c r="D72" s="21">
        <v>0.10589521299983451</v>
      </c>
      <c r="E72" s="21">
        <v>0.10589521299983451</v>
      </c>
      <c r="F72" s="21">
        <v>0.10589521299983451</v>
      </c>
      <c r="G72" s="21">
        <v>0.10589521299983451</v>
      </c>
      <c r="H72" s="21">
        <v>0.10589521299983451</v>
      </c>
    </row>
    <row r="73" spans="2:8" x14ac:dyDescent="0.3">
      <c r="B73" s="143"/>
      <c r="C73" s="146">
        <v>0.6</v>
      </c>
      <c r="D73" s="21">
        <v>0.11093130430944353</v>
      </c>
      <c r="E73" s="21">
        <v>0.11093130430944353</v>
      </c>
      <c r="F73" s="21">
        <v>0.11093130430944353</v>
      </c>
      <c r="G73" s="21">
        <v>0.11093130430944353</v>
      </c>
      <c r="H73" s="21">
        <v>0.11093130430944353</v>
      </c>
    </row>
    <row r="74" spans="2:8" x14ac:dyDescent="0.3">
      <c r="B74" s="143"/>
      <c r="C74" s="146">
        <v>0.65</v>
      </c>
      <c r="D74" s="21">
        <v>0.11730728219194297</v>
      </c>
      <c r="E74" s="21">
        <v>0.11730728219194297</v>
      </c>
      <c r="F74" s="21">
        <v>0.11730728219194297</v>
      </c>
      <c r="G74" s="21">
        <v>0.11730728219194297</v>
      </c>
      <c r="H74" s="21">
        <v>0.11730728219194297</v>
      </c>
    </row>
    <row r="75" spans="2:8" x14ac:dyDescent="0.3">
      <c r="B75" s="143"/>
      <c r="C75" s="146">
        <v>0.7</v>
      </c>
      <c r="D75" s="21">
        <v>0.1256423588863087</v>
      </c>
      <c r="E75" s="21">
        <v>0.1256423588863087</v>
      </c>
      <c r="F75" s="21">
        <v>0.1256423588863087</v>
      </c>
      <c r="G75" s="21">
        <v>0.1256423588863087</v>
      </c>
      <c r="H75" s="21">
        <v>0.1256423588863087</v>
      </c>
    </row>
  </sheetData>
  <mergeCells count="9">
    <mergeCell ref="B68:H68"/>
    <mergeCell ref="D69:H69"/>
    <mergeCell ref="B71:B75"/>
    <mergeCell ref="B18:C18"/>
    <mergeCell ref="B30:C30"/>
    <mergeCell ref="B36:G36"/>
    <mergeCell ref="B46:C46"/>
    <mergeCell ref="B52:C52"/>
    <mergeCell ref="B60:C60"/>
  </mergeCells>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Données</vt:lpstr>
      <vt:lpstr>Tendance, prévision, FCFF</vt:lpstr>
      <vt:lpstr>WACC, DCF</vt:lpstr>
      <vt:lpstr>COMPARABLES</vt:lpstr>
      <vt:lpstr>LBO</vt:lpstr>
      <vt:lpstr>Marriott M&amp;A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Nguyễn Hoàng Phúc</dc:creator>
  <cp:lastModifiedBy>Phan Nguyễn Hoàng Phúc</cp:lastModifiedBy>
  <cp:lastPrinted>2026-02-23T09:07:03Z</cp:lastPrinted>
  <dcterms:created xsi:type="dcterms:W3CDTF">2026-02-20T13:41:54Z</dcterms:created>
  <dcterms:modified xsi:type="dcterms:W3CDTF">2026-02-23T15:58:59Z</dcterms:modified>
</cp:coreProperties>
</file>